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369F49AB-215A-4533-8722-BE5BEFC3E121}" xr6:coauthVersionLast="36" xr6:coauthVersionMax="47" xr10:uidLastSave="{00000000-0000-0000-0000-000000000000}"/>
  <bookViews>
    <workbookView xWindow="-120" yWindow="-120" windowWidth="29040" windowHeight="15720" tabRatio="896" firstSheet="1" activeTab="1" xr2:uid="{46C7E05D-2187-4227-944F-2BBE767CD602}"/>
  </bookViews>
  <sheets>
    <sheet name="リスト" sheetId="118" state="hidden" r:id="rId1"/>
    <sheet name="0420" sheetId="119" r:id="rId2"/>
    <sheet name="DS使用中" sheetId="120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120" l="1"/>
  <c r="A9" i="120"/>
  <c r="A10" i="120"/>
  <c r="A11" i="120"/>
  <c r="A12" i="120"/>
  <c r="A13" i="120"/>
  <c r="A14" i="120"/>
  <c r="A15" i="120"/>
  <c r="AM15" i="120"/>
  <c r="A16" i="120"/>
  <c r="A17" i="120"/>
  <c r="A18" i="120"/>
  <c r="A19" i="120"/>
  <c r="A20" i="120"/>
  <c r="A21" i="120"/>
  <c r="A22" i="120"/>
  <c r="A23" i="120"/>
  <c r="A24" i="120"/>
  <c r="A25" i="120"/>
  <c r="A26" i="120"/>
  <c r="A27" i="120"/>
  <c r="A28" i="120"/>
  <c r="A29" i="120"/>
  <c r="A30" i="120"/>
  <c r="A31" i="120"/>
  <c r="AM31" i="120"/>
  <c r="A32" i="120"/>
  <c r="A33" i="120"/>
  <c r="A34" i="120"/>
  <c r="A35" i="120"/>
  <c r="A36" i="120"/>
  <c r="A37" i="120"/>
  <c r="A38" i="120"/>
  <c r="A39" i="120"/>
  <c r="AM39" i="120"/>
  <c r="A40" i="120"/>
  <c r="A41" i="120"/>
  <c r="A42" i="120"/>
  <c r="A43" i="120"/>
  <c r="A44" i="120"/>
  <c r="A45" i="120"/>
  <c r="A46" i="120"/>
  <c r="A47" i="120"/>
  <c r="AM47" i="120"/>
  <c r="A48" i="120"/>
  <c r="A49" i="120"/>
  <c r="A50" i="120"/>
  <c r="A51" i="120"/>
  <c r="A52" i="120"/>
  <c r="A53" i="120"/>
  <c r="A54" i="120"/>
  <c r="A55" i="120"/>
  <c r="AM55" i="120"/>
  <c r="A56" i="120"/>
  <c r="A57" i="120"/>
  <c r="A58" i="120"/>
  <c r="A59" i="120"/>
  <c r="A60" i="120"/>
  <c r="A61" i="120"/>
  <c r="AM61" i="120"/>
  <c r="A62" i="120"/>
  <c r="A63" i="120"/>
  <c r="AM63" i="120"/>
  <c r="A64" i="120"/>
  <c r="A65" i="120"/>
  <c r="A66" i="120"/>
  <c r="A67" i="120"/>
  <c r="A68" i="120"/>
  <c r="A69" i="120"/>
  <c r="A70" i="120"/>
  <c r="A71" i="120"/>
  <c r="AM71" i="120"/>
  <c r="A72" i="120"/>
  <c r="A73" i="120"/>
  <c r="A74" i="120"/>
  <c r="A75" i="120"/>
  <c r="A76" i="120"/>
  <c r="A77" i="120"/>
  <c r="A78" i="120"/>
  <c r="A79" i="120"/>
  <c r="AM79" i="120"/>
  <c r="A80" i="120"/>
  <c r="A81" i="120"/>
  <c r="A82" i="120"/>
  <c r="A83" i="120"/>
  <c r="A84" i="120"/>
  <c r="A85" i="120"/>
  <c r="A86" i="120"/>
  <c r="A87" i="120"/>
  <c r="AM87" i="120"/>
  <c r="A88" i="120"/>
  <c r="A89" i="120"/>
  <c r="A90" i="120"/>
  <c r="A91" i="120"/>
  <c r="A92" i="120"/>
  <c r="A93" i="120"/>
  <c r="A94" i="120"/>
  <c r="A95" i="120"/>
  <c r="AM95" i="120"/>
  <c r="A96" i="120"/>
  <c r="A97" i="120"/>
  <c r="A98" i="120"/>
  <c r="A99" i="120"/>
  <c r="A100" i="120"/>
  <c r="A101" i="120"/>
  <c r="A102" i="120"/>
  <c r="A103" i="120"/>
  <c r="AM103" i="120"/>
  <c r="A104" i="120"/>
  <c r="A105" i="120"/>
  <c r="A106" i="120"/>
  <c r="A107" i="120"/>
  <c r="A108" i="120"/>
  <c r="A109" i="120"/>
  <c r="A110" i="120"/>
  <c r="A111" i="120"/>
  <c r="AM111" i="120"/>
  <c r="A112" i="120"/>
  <c r="A113" i="120"/>
  <c r="A114" i="120"/>
  <c r="A115" i="120"/>
  <c r="A116" i="120"/>
  <c r="A117" i="120"/>
  <c r="A118" i="120"/>
  <c r="A119" i="120"/>
  <c r="AM119" i="120"/>
  <c r="A120" i="120"/>
  <c r="A121" i="120"/>
  <c r="A122" i="120"/>
  <c r="A123" i="120"/>
  <c r="A124" i="120"/>
  <c r="A125" i="120"/>
  <c r="A126" i="120"/>
  <c r="A127" i="120"/>
  <c r="AM127" i="120"/>
  <c r="A128" i="120"/>
  <c r="A129" i="120"/>
  <c r="A130" i="120"/>
  <c r="A131" i="120"/>
  <c r="A132" i="120"/>
  <c r="A133" i="120"/>
  <c r="A134" i="120"/>
  <c r="A135" i="120"/>
  <c r="AM135" i="120"/>
  <c r="A136" i="120"/>
  <c r="A137" i="120"/>
  <c r="A138" i="120"/>
  <c r="A139" i="120"/>
  <c r="A140" i="120"/>
  <c r="A141" i="120"/>
  <c r="A142" i="120"/>
  <c r="A143" i="120"/>
  <c r="AM143" i="120"/>
  <c r="A144" i="120"/>
  <c r="A145" i="120"/>
  <c r="A146" i="120"/>
  <c r="A147" i="120"/>
  <c r="A148" i="120"/>
  <c r="A149" i="120"/>
  <c r="A150" i="120"/>
  <c r="A151" i="120"/>
  <c r="A152" i="120"/>
  <c r="A153" i="120"/>
  <c r="A154" i="120"/>
  <c r="A155" i="120"/>
  <c r="A156" i="120"/>
  <c r="A157" i="120"/>
  <c r="A158" i="120"/>
  <c r="A159" i="120"/>
  <c r="AM159" i="120"/>
  <c r="A160" i="120"/>
  <c r="A161" i="120"/>
  <c r="A162" i="120"/>
  <c r="A163" i="120"/>
  <c r="A164" i="120"/>
  <c r="A165" i="120"/>
  <c r="A166" i="120"/>
  <c r="A167" i="120"/>
  <c r="AM167" i="120"/>
  <c r="A168" i="120"/>
  <c r="A169" i="120"/>
  <c r="A170" i="120"/>
  <c r="A171" i="120"/>
  <c r="A172" i="120"/>
  <c r="A173" i="120"/>
  <c r="A174" i="120"/>
  <c r="A175" i="120"/>
  <c r="AM175" i="120"/>
  <c r="A176" i="120"/>
  <c r="A177" i="120"/>
  <c r="A178" i="120"/>
  <c r="A179" i="120"/>
  <c r="A180" i="120"/>
  <c r="A181" i="120"/>
  <c r="A182" i="120"/>
  <c r="A183" i="120"/>
  <c r="A184" i="120"/>
  <c r="A185" i="120"/>
  <c r="A186" i="120"/>
  <c r="A187" i="120"/>
  <c r="A188" i="120"/>
  <c r="A189" i="120"/>
  <c r="A190" i="120"/>
  <c r="A191" i="120"/>
  <c r="AM191" i="120"/>
  <c r="A192" i="120"/>
  <c r="A193" i="120"/>
  <c r="A194" i="120"/>
  <c r="A195" i="120"/>
  <c r="A196" i="120"/>
  <c r="A197" i="120"/>
  <c r="A198" i="120"/>
  <c r="A199" i="120"/>
  <c r="AM199" i="120"/>
  <c r="A200" i="120"/>
  <c r="A201" i="120"/>
  <c r="A202" i="120"/>
  <c r="A203" i="120"/>
  <c r="A204" i="120"/>
  <c r="A205" i="120"/>
  <c r="A206" i="120"/>
  <c r="A207" i="120"/>
  <c r="AM207" i="120"/>
  <c r="A208" i="120"/>
  <c r="A209" i="120"/>
  <c r="A210" i="120"/>
  <c r="A211" i="120"/>
  <c r="A212" i="120"/>
  <c r="A213" i="120"/>
  <c r="A214" i="120"/>
  <c r="A215" i="120"/>
  <c r="AM215" i="120"/>
  <c r="A216" i="120"/>
  <c r="A217" i="120"/>
  <c r="A218" i="120"/>
  <c r="A219" i="120"/>
  <c r="A220" i="120"/>
  <c r="A221" i="120"/>
  <c r="A222" i="120"/>
  <c r="A223" i="120"/>
  <c r="AM223" i="120"/>
  <c r="A224" i="120"/>
  <c r="A225" i="120"/>
  <c r="A226" i="120"/>
  <c r="A227" i="120"/>
  <c r="A228" i="120"/>
  <c r="A229" i="120"/>
  <c r="A230" i="120"/>
  <c r="A231" i="120"/>
  <c r="AM231" i="120"/>
  <c r="A232" i="120"/>
  <c r="A233" i="120"/>
  <c r="A234" i="120"/>
  <c r="A235" i="120"/>
  <c r="A236" i="120"/>
  <c r="A237" i="120"/>
  <c r="A238" i="120"/>
  <c r="A239" i="120"/>
  <c r="AM239" i="120"/>
  <c r="A240" i="120"/>
  <c r="A241" i="120"/>
  <c r="A242" i="120"/>
  <c r="A243" i="120"/>
  <c r="A244" i="120"/>
  <c r="A245" i="120"/>
  <c r="A246" i="120"/>
  <c r="AM246" i="120"/>
  <c r="A247" i="120"/>
  <c r="AM247" i="120"/>
  <c r="A248" i="120"/>
  <c r="A249" i="120"/>
  <c r="A250" i="120"/>
  <c r="A251" i="120"/>
  <c r="A252" i="120"/>
  <c r="A253" i="120"/>
  <c r="A254" i="120"/>
  <c r="A255" i="120"/>
  <c r="AM255" i="120"/>
  <c r="A256" i="120"/>
  <c r="A257" i="120"/>
  <c r="A258" i="120"/>
  <c r="A259" i="120"/>
  <c r="A260" i="120"/>
  <c r="A261" i="120"/>
  <c r="A262" i="120"/>
  <c r="A263" i="120"/>
  <c r="AM263" i="120"/>
  <c r="A264" i="120"/>
  <c r="A265" i="120"/>
  <c r="A266" i="120"/>
  <c r="A267" i="120"/>
  <c r="A268" i="120"/>
  <c r="A269" i="120"/>
  <c r="A270" i="120"/>
  <c r="A271" i="120"/>
  <c r="AM271" i="120"/>
  <c r="A272" i="120"/>
  <c r="A273" i="120"/>
  <c r="A274" i="120"/>
  <c r="A275" i="120"/>
  <c r="A276" i="120"/>
  <c r="A277" i="120"/>
  <c r="A278" i="120"/>
  <c r="A279" i="120"/>
  <c r="AM279" i="120"/>
  <c r="A280" i="120"/>
  <c r="A281" i="120"/>
  <c r="A282" i="120"/>
  <c r="A283" i="120"/>
  <c r="A284" i="120"/>
  <c r="A285" i="120"/>
  <c r="A286" i="120"/>
  <c r="A287" i="120"/>
  <c r="AM287" i="120"/>
  <c r="A288" i="120"/>
  <c r="A289" i="120"/>
  <c r="A290" i="120"/>
  <c r="A291" i="120"/>
  <c r="A292" i="120"/>
  <c r="A293" i="120"/>
  <c r="A294" i="120"/>
  <c r="A295" i="120"/>
  <c r="AM295" i="120"/>
  <c r="A296" i="120"/>
  <c r="A297" i="120"/>
  <c r="A298" i="120"/>
  <c r="A299" i="120"/>
  <c r="A300" i="120"/>
  <c r="A301" i="120"/>
  <c r="A302" i="120"/>
  <c r="A303" i="120"/>
  <c r="AM303" i="120"/>
  <c r="A304" i="120"/>
  <c r="A305" i="120"/>
  <c r="A306" i="120"/>
  <c r="A307" i="120"/>
  <c r="A308" i="120"/>
  <c r="A309" i="120"/>
  <c r="A310" i="120"/>
  <c r="A311" i="120"/>
  <c r="AM311" i="120"/>
  <c r="A312" i="120"/>
  <c r="A313" i="120"/>
  <c r="A314" i="120"/>
  <c r="A315" i="120"/>
  <c r="A316" i="120"/>
  <c r="A317" i="120"/>
  <c r="A318" i="120"/>
  <c r="A319" i="120"/>
  <c r="AM319" i="120"/>
  <c r="A320" i="120"/>
  <c r="A321" i="120"/>
  <c r="A322" i="120"/>
  <c r="A323" i="120"/>
  <c r="A324" i="120"/>
  <c r="A325" i="120"/>
  <c r="A326" i="120"/>
  <c r="A327" i="120"/>
  <c r="AM327" i="120"/>
  <c r="A328" i="120"/>
  <c r="A329" i="120"/>
  <c r="A330" i="120"/>
  <c r="A331" i="120"/>
  <c r="A332" i="120"/>
  <c r="A333" i="120"/>
  <c r="A334" i="120"/>
  <c r="A335" i="120"/>
  <c r="AM335" i="120"/>
  <c r="A336" i="120"/>
  <c r="A337" i="120"/>
  <c r="A338" i="120"/>
  <c r="A339" i="120"/>
  <c r="A340" i="120"/>
  <c r="A341" i="120"/>
  <c r="A342" i="120"/>
  <c r="A343" i="120"/>
  <c r="AM343" i="120"/>
  <c r="A344" i="120"/>
  <c r="A345" i="120"/>
  <c r="A346" i="120"/>
  <c r="A347" i="120"/>
  <c r="A348" i="120"/>
  <c r="A349" i="120"/>
  <c r="A350" i="120"/>
  <c r="A351" i="120"/>
  <c r="AM351" i="120"/>
  <c r="A352" i="120"/>
  <c r="A353" i="120"/>
  <c r="A354" i="120"/>
  <c r="A355" i="120"/>
  <c r="A356" i="120"/>
  <c r="A357" i="120"/>
  <c r="A358" i="120"/>
  <c r="A359" i="120"/>
  <c r="AM359" i="120"/>
  <c r="A360" i="120"/>
  <c r="A361" i="120"/>
  <c r="A362" i="120"/>
  <c r="A363" i="120"/>
  <c r="A364" i="120"/>
  <c r="A365" i="120"/>
  <c r="A366" i="120"/>
  <c r="A367" i="120"/>
  <c r="AM367" i="120"/>
  <c r="A368" i="120"/>
  <c r="A369" i="120"/>
  <c r="A370" i="120"/>
  <c r="A371" i="120"/>
  <c r="A372" i="120"/>
  <c r="A373" i="120"/>
  <c r="A374" i="120"/>
  <c r="AM374" i="120"/>
  <c r="A375" i="120"/>
  <c r="AM375" i="120"/>
  <c r="A376" i="120"/>
  <c r="A377" i="120"/>
  <c r="A378" i="120"/>
  <c r="A379" i="120"/>
  <c r="A380" i="120"/>
  <c r="A381" i="120"/>
  <c r="A382" i="120"/>
  <c r="A383" i="120"/>
  <c r="AM383" i="120"/>
  <c r="A384" i="120"/>
  <c r="A385" i="120"/>
  <c r="A386" i="120"/>
  <c r="A387" i="120"/>
  <c r="A388" i="120"/>
  <c r="A389" i="120"/>
  <c r="A390" i="120"/>
  <c r="A391" i="120"/>
  <c r="AM391" i="120"/>
  <c r="A392" i="120"/>
  <c r="A393" i="120"/>
  <c r="A394" i="120"/>
  <c r="A395" i="120"/>
  <c r="A396" i="120"/>
  <c r="A397" i="120"/>
  <c r="A398" i="120"/>
  <c r="A399" i="120"/>
  <c r="AM399" i="120"/>
  <c r="A400" i="120"/>
  <c r="AM16" i="120"/>
  <c r="AM19" i="120"/>
  <c r="AM21" i="120"/>
  <c r="AM22" i="120"/>
  <c r="AM24" i="120"/>
  <c r="AM25" i="120"/>
  <c r="AM26" i="120"/>
  <c r="AM28" i="120"/>
  <c r="AM29" i="120"/>
  <c r="AM30" i="120"/>
  <c r="AM36" i="120"/>
  <c r="AM37" i="120"/>
  <c r="AM42" i="120"/>
  <c r="AM43" i="120"/>
  <c r="AM48" i="120"/>
  <c r="AM49" i="120"/>
  <c r="AM50" i="120"/>
  <c r="AM52" i="120"/>
  <c r="AM53" i="120"/>
  <c r="AM54" i="120"/>
  <c r="AM57" i="120"/>
  <c r="AM58" i="120"/>
  <c r="AM64" i="120"/>
  <c r="AM65" i="120"/>
  <c r="AM66" i="120"/>
  <c r="AM67" i="120"/>
  <c r="AM73" i="120"/>
  <c r="AM74" i="120"/>
  <c r="AM75" i="120"/>
  <c r="AM76" i="120"/>
  <c r="AM77" i="120"/>
  <c r="AM78" i="120"/>
  <c r="AM85" i="120"/>
  <c r="AM88" i="120"/>
  <c r="AM89" i="120"/>
  <c r="AM90" i="120"/>
  <c r="AM91" i="120"/>
  <c r="AM93" i="120"/>
  <c r="AM94" i="120"/>
  <c r="AM98" i="120"/>
  <c r="AM100" i="120"/>
  <c r="AM101" i="120"/>
  <c r="AM102" i="120"/>
  <c r="AM106" i="120"/>
  <c r="AM109" i="120"/>
  <c r="AM112" i="120"/>
  <c r="AM113" i="120"/>
  <c r="AM114" i="120"/>
  <c r="AM115" i="120"/>
  <c r="AM116" i="120"/>
  <c r="AM120" i="120"/>
  <c r="AM121" i="120"/>
  <c r="AM122" i="120"/>
  <c r="AM123" i="120"/>
  <c r="AM124" i="120"/>
  <c r="AM125" i="120"/>
  <c r="AM126" i="120"/>
  <c r="AM129" i="120"/>
  <c r="AM132" i="120"/>
  <c r="AM136" i="120"/>
  <c r="AM137" i="120"/>
  <c r="AM138" i="120"/>
  <c r="AM139" i="120"/>
  <c r="AM144" i="120"/>
  <c r="AM147" i="120"/>
  <c r="AM148" i="120"/>
  <c r="AM149" i="120"/>
  <c r="AM150" i="120"/>
  <c r="AM151" i="120"/>
  <c r="AM153" i="120"/>
  <c r="AM154" i="120"/>
  <c r="AM156" i="120"/>
  <c r="AM158" i="120"/>
  <c r="AM160" i="120"/>
  <c r="AM161" i="120"/>
  <c r="AM162" i="120"/>
  <c r="AM163" i="120"/>
  <c r="AM168" i="120"/>
  <c r="AM171" i="120"/>
  <c r="AM173" i="120"/>
  <c r="AM174" i="120"/>
  <c r="AM180" i="120"/>
  <c r="AM183" i="120"/>
  <c r="AM184" i="120"/>
  <c r="AM185" i="120"/>
  <c r="AM186" i="120"/>
  <c r="AM187" i="120"/>
  <c r="AM193" i="120"/>
  <c r="AM195" i="120"/>
  <c r="AM196" i="120"/>
  <c r="AM197" i="120"/>
  <c r="AM198" i="120"/>
  <c r="AM203" i="120"/>
  <c r="AM204" i="120"/>
  <c r="AM205" i="120"/>
  <c r="AM206" i="120"/>
  <c r="AM208" i="120"/>
  <c r="AM209" i="120"/>
  <c r="AM210" i="120"/>
  <c r="AM211" i="120"/>
  <c r="AM219" i="120"/>
  <c r="AM221" i="120"/>
  <c r="AM222" i="120"/>
  <c r="AM226" i="120"/>
  <c r="AM229" i="120"/>
  <c r="AM233" i="120"/>
  <c r="AM234" i="120"/>
  <c r="AM235" i="120"/>
  <c r="AM237" i="120"/>
  <c r="AM240" i="120"/>
  <c r="AM241" i="120"/>
  <c r="AM242" i="120"/>
  <c r="AM243" i="120"/>
  <c r="AM245" i="120"/>
  <c r="AM249" i="120"/>
  <c r="AM250" i="120"/>
  <c r="AM253" i="120"/>
  <c r="AM254" i="120"/>
  <c r="AM256" i="120"/>
  <c r="AM257" i="120"/>
  <c r="AM258" i="120"/>
  <c r="AM259" i="120"/>
  <c r="AM260" i="120"/>
  <c r="AM261" i="120"/>
  <c r="AM264" i="120"/>
  <c r="AM265" i="120"/>
  <c r="AM266" i="120"/>
  <c r="AM267" i="120"/>
  <c r="AM268" i="120"/>
  <c r="AM269" i="120"/>
  <c r="AM270" i="120"/>
  <c r="AM274" i="120"/>
  <c r="AM281" i="120"/>
  <c r="AM282" i="120"/>
  <c r="AM283" i="120"/>
  <c r="AM284" i="120"/>
  <c r="AM286" i="120"/>
  <c r="AM288" i="120"/>
  <c r="AM292" i="120"/>
  <c r="AM293" i="120"/>
  <c r="AM294" i="120"/>
  <c r="AM296" i="120"/>
  <c r="AM299" i="120"/>
  <c r="AM302" i="120"/>
  <c r="AM304" i="120"/>
  <c r="AM305" i="120"/>
  <c r="AM306" i="120"/>
  <c r="AM307" i="120"/>
  <c r="AM308" i="120"/>
  <c r="AM309" i="120"/>
  <c r="AM310" i="120"/>
  <c r="AM313" i="120"/>
  <c r="AM314" i="120"/>
  <c r="AM317" i="120"/>
  <c r="AM318" i="120"/>
  <c r="AM322" i="120"/>
  <c r="AM323" i="120"/>
  <c r="AM325" i="120"/>
  <c r="AM328" i="120"/>
  <c r="AM329" i="120"/>
  <c r="AM330" i="120"/>
  <c r="AM331" i="120"/>
  <c r="AM333" i="120"/>
  <c r="AM334" i="120"/>
  <c r="AM337" i="120"/>
  <c r="AM339" i="120"/>
  <c r="AM340" i="120"/>
  <c r="AM342" i="120"/>
  <c r="AM345" i="120"/>
  <c r="AM347" i="120"/>
  <c r="AM353" i="120"/>
  <c r="AM354" i="120"/>
  <c r="AM355" i="120"/>
  <c r="AM357" i="120"/>
  <c r="AM358" i="120"/>
  <c r="AM360" i="120"/>
  <c r="AM361" i="120"/>
  <c r="AM362" i="120"/>
  <c r="AM363" i="120"/>
  <c r="AM364" i="120"/>
  <c r="AM365" i="120"/>
  <c r="AM366" i="120"/>
  <c r="AM376" i="120"/>
  <c r="AM377" i="120"/>
  <c r="AM378" i="120"/>
  <c r="AM379" i="120"/>
  <c r="AM380" i="120"/>
  <c r="AM381" i="120"/>
  <c r="AM382" i="120"/>
  <c r="AM384" i="120"/>
  <c r="AM385" i="120"/>
  <c r="AM386" i="120"/>
  <c r="AM387" i="120"/>
  <c r="AM388" i="120"/>
  <c r="AM389" i="120"/>
  <c r="AM390" i="120"/>
  <c r="AM393" i="120"/>
  <c r="AM395" i="120"/>
  <c r="AM396" i="120"/>
  <c r="AM14" i="120"/>
  <c r="AM18" i="120"/>
  <c r="AM23" i="120"/>
  <c r="AM35" i="120"/>
  <c r="AM38" i="120"/>
  <c r="AM44" i="120"/>
  <c r="AM45" i="120"/>
  <c r="AM46" i="120"/>
  <c r="AM56" i="120"/>
  <c r="AM62" i="120"/>
  <c r="AM69" i="120"/>
  <c r="AM70" i="120"/>
  <c r="AM82" i="120"/>
  <c r="AM83" i="120"/>
  <c r="AM86" i="120"/>
  <c r="AM92" i="120"/>
  <c r="AM105" i="120"/>
  <c r="AM107" i="120"/>
  <c r="AM110" i="120"/>
  <c r="AM118" i="120"/>
  <c r="AM130" i="120"/>
  <c r="AM131" i="120"/>
  <c r="AM134" i="120"/>
  <c r="AM140" i="120"/>
  <c r="AM142" i="120"/>
  <c r="AM164" i="120"/>
  <c r="AM166" i="120"/>
  <c r="AM169" i="120"/>
  <c r="AM178" i="120"/>
  <c r="AM179" i="120"/>
  <c r="AM181" i="120"/>
  <c r="AM182" i="120"/>
  <c r="AM189" i="120"/>
  <c r="AM190" i="120"/>
  <c r="AM192" i="120"/>
  <c r="AM202" i="120"/>
  <c r="AM214" i="120"/>
  <c r="AM216" i="120"/>
  <c r="AM217" i="120"/>
  <c r="AM218" i="120"/>
  <c r="AM227" i="120"/>
  <c r="AM228" i="120"/>
  <c r="AM230" i="120"/>
  <c r="AM236" i="120"/>
  <c r="AM238" i="120"/>
  <c r="AM262" i="120"/>
  <c r="AM275" i="120"/>
  <c r="AM277" i="120"/>
  <c r="AM278" i="120"/>
  <c r="AM280" i="120"/>
  <c r="AM285" i="120"/>
  <c r="AM312" i="120"/>
  <c r="AM324" i="120"/>
  <c r="AM326" i="120"/>
  <c r="AM349" i="120"/>
  <c r="AM350" i="120"/>
  <c r="AM352" i="120"/>
  <c r="AM371" i="120"/>
  <c r="AM373" i="120"/>
  <c r="AM397" i="120"/>
  <c r="AM398" i="120"/>
  <c r="AM400" i="120"/>
  <c r="AM13" i="120"/>
  <c r="AM117" i="120"/>
  <c r="AM133" i="120"/>
  <c r="AM141" i="120"/>
  <c r="AM157" i="120"/>
  <c r="AM165" i="120"/>
  <c r="AM213" i="120"/>
  <c r="AM301" i="120"/>
  <c r="AM341" i="120"/>
  <c r="A401" i="120"/>
  <c r="A402" i="120"/>
  <c r="AM402" i="120"/>
  <c r="A403" i="120"/>
  <c r="A404" i="120"/>
  <c r="AM404" i="120"/>
  <c r="A405" i="120"/>
  <c r="AM405" i="120"/>
  <c r="A406" i="120"/>
  <c r="AM406" i="120"/>
  <c r="A407" i="120"/>
  <c r="AM407" i="120"/>
  <c r="A408" i="120"/>
  <c r="AM408" i="120"/>
  <c r="A409" i="120"/>
  <c r="AM409" i="120"/>
  <c r="A410" i="120"/>
  <c r="A411" i="120"/>
  <c r="A412" i="120"/>
  <c r="AM412" i="120"/>
  <c r="A413" i="120"/>
  <c r="AM413" i="120"/>
  <c r="A414" i="120"/>
  <c r="AM414" i="120"/>
  <c r="A415" i="120"/>
  <c r="AM415" i="120"/>
  <c r="A416" i="120"/>
  <c r="AM416" i="120"/>
  <c r="A417" i="120"/>
  <c r="AM417" i="120"/>
  <c r="A418" i="120"/>
  <c r="AM418" i="120"/>
  <c r="A419" i="120"/>
  <c r="AM419" i="120"/>
  <c r="A420" i="120"/>
  <c r="A421" i="120"/>
  <c r="AM421" i="120"/>
  <c r="A422" i="120"/>
  <c r="A423" i="120"/>
  <c r="AM423" i="120"/>
  <c r="A424" i="120"/>
  <c r="A425" i="120"/>
  <c r="AM425" i="120"/>
  <c r="A426" i="120"/>
  <c r="AM426" i="120"/>
  <c r="A427" i="120"/>
  <c r="AM427" i="120"/>
  <c r="A428" i="120"/>
  <c r="A429" i="120"/>
  <c r="AM429" i="120"/>
  <c r="A430" i="120"/>
  <c r="AM430" i="120"/>
  <c r="A431" i="120"/>
  <c r="AM431" i="120"/>
  <c r="A432" i="120"/>
  <c r="A433" i="120"/>
  <c r="AM433" i="120"/>
  <c r="A434" i="120"/>
  <c r="AM434" i="120"/>
  <c r="A435" i="120"/>
  <c r="AM435" i="120"/>
  <c r="A436" i="120"/>
  <c r="AM436" i="120"/>
  <c r="A437" i="120"/>
  <c r="AM437" i="120"/>
  <c r="A438" i="120"/>
  <c r="A439" i="120"/>
  <c r="AM439" i="120"/>
  <c r="A440" i="120"/>
  <c r="AM440" i="120"/>
  <c r="A441" i="120"/>
  <c r="A442" i="120"/>
  <c r="AM442" i="120"/>
  <c r="A443" i="120"/>
  <c r="AM443" i="120"/>
  <c r="A444" i="120"/>
  <c r="AM444" i="120"/>
  <c r="A445" i="120"/>
  <c r="AM445" i="120"/>
  <c r="A446" i="120"/>
  <c r="A447" i="120"/>
  <c r="AM447" i="120"/>
  <c r="A448" i="120"/>
  <c r="AM448" i="120"/>
  <c r="A449" i="120"/>
  <c r="A450" i="120"/>
  <c r="AM450" i="120"/>
  <c r="A451" i="120"/>
  <c r="AM451" i="120"/>
  <c r="A452" i="120"/>
  <c r="A453" i="120"/>
  <c r="AM453" i="120"/>
  <c r="A454" i="120"/>
  <c r="A455" i="120"/>
  <c r="AM455" i="120"/>
  <c r="A456" i="120"/>
  <c r="AM456" i="120"/>
  <c r="A457" i="120"/>
  <c r="A458" i="120"/>
  <c r="A459" i="120"/>
  <c r="AM459" i="120"/>
  <c r="A460" i="120"/>
  <c r="A461" i="120"/>
  <c r="AM461" i="120"/>
  <c r="A462" i="120"/>
  <c r="AM462" i="120"/>
  <c r="A463" i="120"/>
  <c r="AM463" i="120"/>
  <c r="A464" i="120"/>
  <c r="AM464" i="120"/>
  <c r="A465" i="120"/>
  <c r="AM465" i="120"/>
  <c r="A466" i="120"/>
  <c r="AM466" i="120"/>
  <c r="A467" i="120"/>
  <c r="AM467" i="120"/>
  <c r="A468" i="120"/>
  <c r="A469" i="120"/>
  <c r="AM469" i="120"/>
  <c r="A470" i="120"/>
  <c r="AM470" i="120"/>
  <c r="A471" i="120"/>
  <c r="A472" i="120"/>
  <c r="AM472" i="120"/>
  <c r="A473" i="120"/>
  <c r="A474" i="120"/>
  <c r="AM474" i="120"/>
  <c r="A475" i="120"/>
  <c r="AM475" i="120"/>
  <c r="A476" i="120"/>
  <c r="AM476" i="120"/>
  <c r="A477" i="120"/>
  <c r="AM477" i="120"/>
  <c r="A478" i="120"/>
  <c r="AM478" i="120"/>
  <c r="A479" i="120"/>
  <c r="AM479" i="120"/>
  <c r="A480" i="120"/>
  <c r="AM480" i="120"/>
  <c r="A481" i="120"/>
  <c r="A482" i="120"/>
  <c r="A483" i="120"/>
  <c r="A484" i="120"/>
  <c r="AM484" i="120"/>
  <c r="A485" i="120"/>
  <c r="AM485" i="120"/>
  <c r="A486" i="120"/>
  <c r="AM486" i="120"/>
  <c r="A487" i="120"/>
  <c r="AM487" i="120"/>
  <c r="A488" i="120"/>
  <c r="AM488" i="120"/>
  <c r="A489" i="120"/>
  <c r="A490" i="120"/>
  <c r="AM490" i="120"/>
  <c r="A491" i="120"/>
  <c r="AM491" i="120"/>
  <c r="A492" i="120"/>
  <c r="A493" i="120"/>
  <c r="AM493" i="120"/>
  <c r="A494" i="120"/>
  <c r="A495" i="120"/>
  <c r="AM495" i="120"/>
  <c r="A496" i="120"/>
  <c r="AM496" i="120"/>
  <c r="A497" i="120"/>
  <c r="AM497" i="120"/>
  <c r="A498" i="120"/>
  <c r="AM498" i="120"/>
  <c r="A499" i="120"/>
  <c r="AM499" i="120"/>
  <c r="A500" i="120"/>
  <c r="AM500" i="120"/>
  <c r="AM51" i="120"/>
  <c r="AM99" i="120"/>
  <c r="AM155" i="120"/>
  <c r="AM251" i="120"/>
  <c r="AM315" i="120"/>
  <c r="AM403" i="120"/>
  <c r="AM446" i="120"/>
  <c r="AM454" i="120"/>
  <c r="AM494" i="120"/>
  <c r="AM59" i="120"/>
  <c r="AM80" i="120"/>
  <c r="AM96" i="120"/>
  <c r="AM104" i="120"/>
  <c r="AM200" i="120"/>
  <c r="AM224" i="120"/>
  <c r="AM248" i="120"/>
  <c r="AM346" i="120"/>
  <c r="AM368" i="120"/>
  <c r="AM411" i="120"/>
  <c r="AM422" i="120"/>
  <c r="AM424" i="120"/>
  <c r="AM432" i="120"/>
  <c r="AM438" i="120"/>
  <c r="AM482" i="120"/>
  <c r="AM471" i="120"/>
  <c r="AM232" i="120"/>
  <c r="AM272" i="120"/>
  <c r="AM320" i="120"/>
  <c r="AM336" i="120"/>
  <c r="AM344" i="120"/>
  <c r="AM392" i="120"/>
  <c r="AM34" i="120"/>
  <c r="AM146" i="120"/>
  <c r="AM172" i="120"/>
  <c r="AM194" i="120"/>
  <c r="AM201" i="120"/>
  <c r="AM276" i="120"/>
  <c r="AM290" i="120"/>
  <c r="AM298" i="120"/>
  <c r="AM332" i="120"/>
  <c r="AM338" i="120"/>
  <c r="AM370" i="120"/>
  <c r="AM394" i="120"/>
  <c r="AM420" i="120"/>
  <c r="AM457" i="120"/>
  <c r="AM458" i="120"/>
  <c r="AM468" i="120"/>
  <c r="AM489" i="120"/>
  <c r="AM20" i="120"/>
  <c r="AM152" i="120"/>
  <c r="AM188" i="120"/>
  <c r="AM291" i="120"/>
  <c r="AM452" i="120"/>
  <c r="AM473" i="120"/>
  <c r="AM481" i="120"/>
  <c r="AM492" i="120"/>
  <c r="AM212" i="120"/>
  <c r="AM321" i="120"/>
  <c r="AM410" i="120"/>
  <c r="AM460" i="120"/>
  <c r="AM8" i="120"/>
  <c r="AM12" i="120"/>
  <c r="AM27" i="120"/>
  <c r="AM40" i="120"/>
  <c r="AM68" i="120"/>
  <c r="AM176" i="120"/>
  <c r="AM220" i="120"/>
  <c r="AM244" i="120"/>
  <c r="AM273" i="120"/>
  <c r="AM316" i="120"/>
  <c r="AM401" i="120"/>
  <c r="AM483" i="120"/>
  <c r="AM81" i="120"/>
  <c r="AM128" i="120"/>
  <c r="AM170" i="120"/>
  <c r="AM356" i="120"/>
  <c r="AM369" i="120"/>
  <c r="AM428" i="120"/>
  <c r="AM9" i="120"/>
  <c r="AM10" i="120"/>
  <c r="AM60" i="120"/>
  <c r="AM72" i="120"/>
  <c r="AM84" i="120"/>
  <c r="AM97" i="120"/>
  <c r="AM108" i="120"/>
  <c r="AM252" i="120"/>
  <c r="AM300" i="120"/>
  <c r="AM348" i="120"/>
  <c r="AM372" i="120"/>
  <c r="AM501" i="120"/>
  <c r="AK501" i="120"/>
  <c r="AK500" i="120"/>
  <c r="AK499" i="120"/>
  <c r="AK498" i="120"/>
  <c r="AK497" i="120"/>
  <c r="AK496" i="120"/>
  <c r="AK495" i="120"/>
  <c r="AK494" i="120"/>
  <c r="AK493" i="120"/>
  <c r="AK492" i="120"/>
  <c r="AK491" i="120"/>
  <c r="AK490" i="120"/>
  <c r="AK489" i="120"/>
  <c r="AK488" i="120"/>
  <c r="AK487" i="120"/>
  <c r="AK486" i="120"/>
  <c r="AK485" i="120"/>
  <c r="AK484" i="120"/>
  <c r="AK483" i="120"/>
  <c r="AK482" i="120"/>
  <c r="AK481" i="120"/>
  <c r="AK480" i="120"/>
  <c r="AK479" i="120"/>
  <c r="AK478" i="120"/>
  <c r="AK477" i="120"/>
  <c r="AK476" i="120"/>
  <c r="AK475" i="120"/>
  <c r="AK474" i="120"/>
  <c r="AK473" i="120"/>
  <c r="AK472" i="120"/>
  <c r="AK471" i="120"/>
  <c r="AK470" i="120"/>
  <c r="AK469" i="120"/>
  <c r="AK468" i="120"/>
  <c r="AK467" i="120"/>
  <c r="AK466" i="120"/>
  <c r="AK465" i="120"/>
  <c r="AK464" i="120"/>
  <c r="AK463" i="120"/>
  <c r="AK462" i="120"/>
  <c r="AK461" i="120"/>
  <c r="AK460" i="120"/>
  <c r="AK459" i="120"/>
  <c r="AK458" i="120"/>
  <c r="AK457" i="120"/>
  <c r="AK456" i="120"/>
  <c r="AK455" i="120"/>
  <c r="AK454" i="120"/>
  <c r="AK453" i="120"/>
  <c r="AK452" i="120"/>
  <c r="AK451" i="120"/>
  <c r="AK450" i="120"/>
  <c r="AK449" i="120"/>
  <c r="AM449" i="120"/>
  <c r="AK448" i="120"/>
  <c r="AK447" i="120"/>
  <c r="AK446" i="120"/>
  <c r="AK445" i="120"/>
  <c r="AK444" i="120"/>
  <c r="AK443" i="120"/>
  <c r="AK442" i="120"/>
  <c r="AK441" i="120"/>
  <c r="AM441" i="120"/>
  <c r="AK440" i="120"/>
  <c r="AK439" i="120"/>
  <c r="AK438" i="120"/>
  <c r="AK437" i="120"/>
  <c r="AK436" i="120"/>
  <c r="AK435" i="120"/>
  <c r="AK434" i="120"/>
  <c r="AK433" i="120"/>
  <c r="AK432" i="120"/>
  <c r="AK431" i="120"/>
  <c r="AK430" i="120"/>
  <c r="AK429" i="120"/>
  <c r="AK428" i="120"/>
  <c r="AK427" i="120"/>
  <c r="AK426" i="120"/>
  <c r="AK425" i="120"/>
  <c r="AK424" i="120"/>
  <c r="AK423" i="120"/>
  <c r="AK422" i="120"/>
  <c r="AK421" i="120"/>
  <c r="AK420" i="120"/>
  <c r="AK419" i="120"/>
  <c r="AK418" i="120"/>
  <c r="AK417" i="120"/>
  <c r="AK416" i="120"/>
  <c r="AK415" i="120"/>
  <c r="AK414" i="120"/>
  <c r="AK413" i="120"/>
  <c r="AK412" i="120"/>
  <c r="AK411" i="120"/>
  <c r="AK410" i="120"/>
  <c r="AK409" i="120"/>
  <c r="AK408" i="120"/>
  <c r="AK407" i="120"/>
  <c r="AK406" i="120"/>
  <c r="AK405" i="120"/>
  <c r="AK404" i="120"/>
  <c r="AK403" i="120"/>
  <c r="AK402" i="120"/>
  <c r="AK401" i="120"/>
  <c r="AK400" i="120"/>
  <c r="AK399" i="120"/>
  <c r="AK398" i="120"/>
  <c r="AK397" i="120"/>
  <c r="AK396" i="120"/>
  <c r="AK395" i="120"/>
  <c r="AK394" i="120"/>
  <c r="AK393" i="120"/>
  <c r="AK392" i="120"/>
  <c r="AK391" i="120"/>
  <c r="AK390" i="120"/>
  <c r="AK389" i="120"/>
  <c r="AK388" i="120"/>
  <c r="AK387" i="120"/>
  <c r="AK386" i="120"/>
  <c r="AK385" i="120"/>
  <c r="AK384" i="120"/>
  <c r="AK383" i="120"/>
  <c r="AK382" i="120"/>
  <c r="AK381" i="120"/>
  <c r="AK380" i="120"/>
  <c r="AK379" i="120"/>
  <c r="AK378" i="120"/>
  <c r="AK377" i="120"/>
  <c r="AK376" i="120"/>
  <c r="AK375" i="120"/>
  <c r="AK374" i="120"/>
  <c r="AK373" i="120"/>
  <c r="AK372" i="120"/>
  <c r="AK371" i="120"/>
  <c r="AK370" i="120"/>
  <c r="AK369" i="120"/>
  <c r="AK368" i="120"/>
  <c r="AK367" i="120"/>
  <c r="AK366" i="120"/>
  <c r="AK365" i="120"/>
  <c r="AK364" i="120"/>
  <c r="AK363" i="120"/>
  <c r="AK362" i="120"/>
  <c r="AK361" i="120"/>
  <c r="AK360" i="120"/>
  <c r="AK359" i="120"/>
  <c r="AK358" i="120"/>
  <c r="AK357" i="120"/>
  <c r="AK356" i="120"/>
  <c r="AK355" i="120"/>
  <c r="AK354" i="120"/>
  <c r="AK353" i="120"/>
  <c r="AK352" i="120"/>
  <c r="AK351" i="120"/>
  <c r="AK350" i="120"/>
  <c r="AK349" i="120"/>
  <c r="AK348" i="120"/>
  <c r="AK347" i="120"/>
  <c r="AK346" i="120"/>
  <c r="AK345" i="120"/>
  <c r="AK344" i="120"/>
  <c r="AK343" i="120"/>
  <c r="AK342" i="120"/>
  <c r="AK341" i="120"/>
  <c r="AK340" i="120"/>
  <c r="AK339" i="120"/>
  <c r="AK338" i="120"/>
  <c r="AK337" i="120"/>
  <c r="AK336" i="120"/>
  <c r="AK335" i="120"/>
  <c r="AK334" i="120"/>
  <c r="AK333" i="120"/>
  <c r="AK332" i="120"/>
  <c r="AK331" i="120"/>
  <c r="AK330" i="120"/>
  <c r="AK329" i="120"/>
  <c r="AK328" i="120"/>
  <c r="AK327" i="120"/>
  <c r="AK326" i="120"/>
  <c r="AK325" i="120"/>
  <c r="AK324" i="120"/>
  <c r="AK323" i="120"/>
  <c r="AK322" i="120"/>
  <c r="AK321" i="120"/>
  <c r="AK320" i="120"/>
  <c r="AK319" i="120"/>
  <c r="AK318" i="120"/>
  <c r="AK317" i="120"/>
  <c r="AK316" i="120"/>
  <c r="AK315" i="120"/>
  <c r="AK314" i="120"/>
  <c r="AK313" i="120"/>
  <c r="AK312" i="120"/>
  <c r="AK311" i="120"/>
  <c r="AK310" i="120"/>
  <c r="AK309" i="120"/>
  <c r="AK308" i="120"/>
  <c r="AK307" i="120"/>
  <c r="AK306" i="120"/>
  <c r="AK305" i="120"/>
  <c r="AK304" i="120"/>
  <c r="AK303" i="120"/>
  <c r="AK302" i="120"/>
  <c r="AK301" i="120"/>
  <c r="AK300" i="120"/>
  <c r="AK299" i="120"/>
  <c r="AK298" i="120"/>
  <c r="AM297" i="120"/>
  <c r="AK297" i="120"/>
  <c r="AK296" i="120"/>
  <c r="AK295" i="120"/>
  <c r="AK294" i="120"/>
  <c r="AK293" i="120"/>
  <c r="AK292" i="120"/>
  <c r="AK291" i="120"/>
  <c r="AK290" i="120"/>
  <c r="AM289" i="120"/>
  <c r="AK289" i="120"/>
  <c r="AK288" i="120"/>
  <c r="AK287" i="120"/>
  <c r="AK286" i="120"/>
  <c r="AK285" i="120"/>
  <c r="AK284" i="120"/>
  <c r="AK283" i="120"/>
  <c r="AK282" i="120"/>
  <c r="AK281" i="120"/>
  <c r="AK280" i="120"/>
  <c r="AK279" i="120"/>
  <c r="AK278" i="120"/>
  <c r="AK277" i="120"/>
  <c r="AK276" i="120"/>
  <c r="AK275" i="120"/>
  <c r="AK274" i="120"/>
  <c r="AK273" i="120"/>
  <c r="AK272" i="120"/>
  <c r="AK271" i="120"/>
  <c r="AK270" i="120"/>
  <c r="AK269" i="120"/>
  <c r="AK268" i="120"/>
  <c r="AK267" i="120"/>
  <c r="AK266" i="120"/>
  <c r="AK265" i="120"/>
  <c r="AK264" i="120"/>
  <c r="AK263" i="120"/>
  <c r="AK262" i="120"/>
  <c r="AK261" i="120"/>
  <c r="AK260" i="120"/>
  <c r="AK259" i="120"/>
  <c r="AK258" i="120"/>
  <c r="AK257" i="120"/>
  <c r="AK256" i="120"/>
  <c r="AK255" i="120"/>
  <c r="AK254" i="120"/>
  <c r="AK253" i="120"/>
  <c r="AK252" i="120"/>
  <c r="AK251" i="120"/>
  <c r="AK250" i="120"/>
  <c r="AK249" i="120"/>
  <c r="AK248" i="120"/>
  <c r="AK247" i="120"/>
  <c r="AK246" i="120"/>
  <c r="AK245" i="120"/>
  <c r="AK244" i="120"/>
  <c r="AK243" i="120"/>
  <c r="AK242" i="120"/>
  <c r="AK241" i="120"/>
  <c r="AK240" i="120"/>
  <c r="AK239" i="120"/>
  <c r="AK238" i="120"/>
  <c r="AK237" i="120"/>
  <c r="AK236" i="120"/>
  <c r="AK235" i="120"/>
  <c r="AK234" i="120"/>
  <c r="AK233" i="120"/>
  <c r="AK232" i="120"/>
  <c r="AK231" i="120"/>
  <c r="AK230" i="120"/>
  <c r="AK229" i="120"/>
  <c r="AK228" i="120"/>
  <c r="AK227" i="120"/>
  <c r="AK226" i="120"/>
  <c r="AK225" i="120"/>
  <c r="AM225" i="120"/>
  <c r="AK224" i="120"/>
  <c r="AK223" i="120"/>
  <c r="AK222" i="120"/>
  <c r="AK221" i="120"/>
  <c r="AK220" i="120"/>
  <c r="AK219" i="120"/>
  <c r="AK218" i="120"/>
  <c r="AK217" i="120"/>
  <c r="AK216" i="120"/>
  <c r="AK215" i="120"/>
  <c r="AK214" i="120"/>
  <c r="AK213" i="120"/>
  <c r="AK212" i="120"/>
  <c r="AK211" i="120"/>
  <c r="AK210" i="120"/>
  <c r="AK209" i="120"/>
  <c r="AK208" i="120"/>
  <c r="AK207" i="120"/>
  <c r="AK206" i="120"/>
  <c r="AK205" i="120"/>
  <c r="AK204" i="120"/>
  <c r="AK203" i="120"/>
  <c r="AK202" i="120"/>
  <c r="AK201" i="120"/>
  <c r="AK200" i="120"/>
  <c r="AK199" i="120"/>
  <c r="AK198" i="120"/>
  <c r="AK197" i="120"/>
  <c r="AK196" i="120"/>
  <c r="AK195" i="120"/>
  <c r="AK194" i="120"/>
  <c r="AK193" i="120"/>
  <c r="AK192" i="120"/>
  <c r="AK191" i="120"/>
  <c r="AK190" i="120"/>
  <c r="AK189" i="120"/>
  <c r="AK188" i="120"/>
  <c r="AK187" i="120"/>
  <c r="AK186" i="120"/>
  <c r="AK185" i="120"/>
  <c r="AK184" i="120"/>
  <c r="AK183" i="120"/>
  <c r="AK182" i="120"/>
  <c r="AK181" i="120"/>
  <c r="AK180" i="120"/>
  <c r="AK179" i="120"/>
  <c r="AK178" i="120"/>
  <c r="AM177" i="120"/>
  <c r="AK177" i="120"/>
  <c r="AK176" i="120"/>
  <c r="AK175" i="120"/>
  <c r="AK174" i="120"/>
  <c r="AK173" i="120"/>
  <c r="AK172" i="120"/>
  <c r="AK171" i="120"/>
  <c r="AK170" i="120"/>
  <c r="AK169" i="120"/>
  <c r="AK168" i="120"/>
  <c r="AK167" i="120"/>
  <c r="AK166" i="120"/>
  <c r="AK165" i="120"/>
  <c r="AK164" i="120"/>
  <c r="AK163" i="120"/>
  <c r="AK162" i="120"/>
  <c r="AK161" i="120"/>
  <c r="AK160" i="120"/>
  <c r="AK159" i="120"/>
  <c r="AK158" i="120"/>
  <c r="AK157" i="120"/>
  <c r="AK156" i="120"/>
  <c r="AK155" i="120"/>
  <c r="AK154" i="120"/>
  <c r="AK153" i="120"/>
  <c r="AK152" i="120"/>
  <c r="AK151" i="120"/>
  <c r="AK150" i="120"/>
  <c r="AK149" i="120"/>
  <c r="AK148" i="120"/>
  <c r="AK147" i="120"/>
  <c r="AK146" i="120"/>
  <c r="AM145" i="120"/>
  <c r="AK145" i="120"/>
  <c r="AK144" i="120"/>
  <c r="AK143" i="120"/>
  <c r="AK142" i="120"/>
  <c r="AK141" i="120"/>
  <c r="AK140" i="120"/>
  <c r="AK139" i="120"/>
  <c r="AK138" i="120"/>
  <c r="AK137" i="120"/>
  <c r="AK136" i="120"/>
  <c r="AK135" i="120"/>
  <c r="AK134" i="120"/>
  <c r="AK133" i="120"/>
  <c r="AK132" i="120"/>
  <c r="AK131" i="120"/>
  <c r="AK130" i="120"/>
  <c r="AK129" i="120"/>
  <c r="AK128" i="120"/>
  <c r="AK127" i="120"/>
  <c r="AK126" i="120"/>
  <c r="AK125" i="120"/>
  <c r="AK124" i="120"/>
  <c r="AK123" i="120"/>
  <c r="AK122" i="120"/>
  <c r="AK121" i="120"/>
  <c r="AK120" i="120"/>
  <c r="AK119" i="120"/>
  <c r="AK118" i="120"/>
  <c r="AK117" i="120"/>
  <c r="AK116" i="120"/>
  <c r="AK115" i="120"/>
  <c r="AK114" i="120"/>
  <c r="AK113" i="120"/>
  <c r="AK112" i="120"/>
  <c r="AK111" i="120"/>
  <c r="AK110" i="120"/>
  <c r="AK109" i="120"/>
  <c r="AK108" i="120"/>
  <c r="AK107" i="120"/>
  <c r="AK106" i="120"/>
  <c r="AK105" i="120"/>
  <c r="AK104" i="120"/>
  <c r="AK103" i="120"/>
  <c r="AK102" i="120"/>
  <c r="AK101" i="120"/>
  <c r="AK100" i="120"/>
  <c r="AK99" i="120"/>
  <c r="AK98" i="120"/>
  <c r="AK97" i="120"/>
  <c r="AK96" i="120"/>
  <c r="AK95" i="120"/>
  <c r="AK94" i="120"/>
  <c r="AK93" i="120"/>
  <c r="AK92" i="120"/>
  <c r="AK91" i="120"/>
  <c r="AK90" i="120"/>
  <c r="AK89" i="120"/>
  <c r="AK88" i="120"/>
  <c r="AK87" i="120"/>
  <c r="AK86" i="120"/>
  <c r="AK85" i="120"/>
  <c r="AK84" i="120"/>
  <c r="AK83" i="120"/>
  <c r="AK82" i="120"/>
  <c r="AK81" i="120"/>
  <c r="AK80" i="120"/>
  <c r="AK79" i="120"/>
  <c r="AK78" i="120"/>
  <c r="AK77" i="120"/>
  <c r="AK76" i="120"/>
  <c r="AK75" i="120"/>
  <c r="AK74" i="120"/>
  <c r="AK73" i="120"/>
  <c r="AK72" i="120"/>
  <c r="AK71" i="120"/>
  <c r="AK70" i="120"/>
  <c r="AK69" i="120"/>
  <c r="AK68" i="120"/>
  <c r="AK67" i="120"/>
  <c r="AK66" i="120"/>
  <c r="AK65" i="120"/>
  <c r="AK64" i="120"/>
  <c r="AK63" i="120"/>
  <c r="AK62" i="120"/>
  <c r="AK61" i="120"/>
  <c r="AK60" i="120"/>
  <c r="AK59" i="120"/>
  <c r="AK58" i="120"/>
  <c r="AK57" i="120"/>
  <c r="AK56" i="120"/>
  <c r="AK55" i="120"/>
  <c r="AK54" i="120"/>
  <c r="AK53" i="120"/>
  <c r="AK52" i="120"/>
  <c r="AK51" i="120"/>
  <c r="AK50" i="120"/>
  <c r="AK49" i="120"/>
  <c r="AK48" i="120"/>
  <c r="AK47" i="120"/>
  <c r="AK46" i="120"/>
  <c r="AK45" i="120"/>
  <c r="AK44" i="120"/>
  <c r="AK43" i="120"/>
  <c r="AK42" i="120"/>
  <c r="AK41" i="120"/>
  <c r="AM41" i="120"/>
  <c r="AK40" i="120"/>
  <c r="AK39" i="120"/>
  <c r="AK38" i="120"/>
  <c r="AK37" i="120"/>
  <c r="AK36" i="120"/>
  <c r="AK35" i="120"/>
  <c r="AK34" i="120"/>
  <c r="AK33" i="120"/>
  <c r="AM33" i="120"/>
  <c r="AK32" i="120"/>
  <c r="AK31" i="120"/>
  <c r="AK30" i="120"/>
  <c r="AK29" i="120"/>
  <c r="AK28" i="120"/>
  <c r="AK27" i="120"/>
  <c r="AK26" i="120"/>
  <c r="AK25" i="120"/>
  <c r="AK24" i="120"/>
  <c r="AK23" i="120"/>
  <c r="AK22" i="120"/>
  <c r="AK21" i="120"/>
  <c r="AK20" i="120"/>
  <c r="AK19" i="120"/>
  <c r="AK18" i="120"/>
  <c r="AK17" i="120"/>
  <c r="AM17" i="120"/>
  <c r="AK16" i="120"/>
  <c r="AK15" i="120"/>
  <c r="AK14" i="120"/>
  <c r="AK13" i="120"/>
  <c r="AK12" i="120"/>
  <c r="AK11" i="120"/>
  <c r="AK10" i="120"/>
  <c r="AK9" i="120"/>
  <c r="AK8" i="120"/>
  <c r="AL6" i="120"/>
  <c r="AM7" i="120"/>
  <c r="AL7" i="120"/>
  <c r="M3" i="120"/>
  <c r="AO800" i="119"/>
  <c r="AN800" i="119"/>
  <c r="AM800" i="119"/>
  <c r="AG800" i="119"/>
  <c r="AE800" i="119"/>
  <c r="Z800" i="119"/>
  <c r="AO799" i="119"/>
  <c r="AN799" i="119"/>
  <c r="AM799" i="119"/>
  <c r="AG799" i="119"/>
  <c r="AE799" i="119"/>
  <c r="Z799" i="119"/>
  <c r="AO798" i="119"/>
  <c r="AN798" i="119"/>
  <c r="AM798" i="119"/>
  <c r="AG798" i="119"/>
  <c r="AE798" i="119"/>
  <c r="Z798" i="119"/>
  <c r="AO797" i="119"/>
  <c r="AN797" i="119"/>
  <c r="AM797" i="119"/>
  <c r="AG797" i="119"/>
  <c r="AE797" i="119"/>
  <c r="Z797" i="119"/>
  <c r="AO796" i="119"/>
  <c r="AN796" i="119"/>
  <c r="AM796" i="119"/>
  <c r="AG796" i="119"/>
  <c r="AE796" i="119"/>
  <c r="Z796" i="119"/>
  <c r="AO795" i="119"/>
  <c r="AN795" i="119"/>
  <c r="AM795" i="119"/>
  <c r="AG795" i="119"/>
  <c r="AE795" i="119"/>
  <c r="Z795" i="119"/>
  <c r="AO794" i="119"/>
  <c r="AN794" i="119"/>
  <c r="AM794" i="119"/>
  <c r="AG794" i="119"/>
  <c r="AE794" i="119"/>
  <c r="Z794" i="119"/>
  <c r="AO793" i="119"/>
  <c r="AN793" i="119"/>
  <c r="AM793" i="119"/>
  <c r="AG793" i="119"/>
  <c r="AE793" i="119"/>
  <c r="Z793" i="119"/>
  <c r="AO792" i="119"/>
  <c r="AN792" i="119"/>
  <c r="AM792" i="119"/>
  <c r="AG792" i="119"/>
  <c r="AE792" i="119"/>
  <c r="Z792" i="119"/>
  <c r="AO791" i="119"/>
  <c r="AN791" i="119"/>
  <c r="AM791" i="119"/>
  <c r="AG791" i="119"/>
  <c r="AE791" i="119"/>
  <c r="Z791" i="119"/>
  <c r="AO790" i="119"/>
  <c r="AN790" i="119"/>
  <c r="AM790" i="119"/>
  <c r="AG790" i="119"/>
  <c r="AE790" i="119"/>
  <c r="Z790" i="119"/>
  <c r="AO789" i="119"/>
  <c r="AN789" i="119"/>
  <c r="AM789" i="119"/>
  <c r="AG789" i="119"/>
  <c r="AE789" i="119"/>
  <c r="Z789" i="119"/>
  <c r="AO788" i="119"/>
  <c r="AN788" i="119"/>
  <c r="AM788" i="119"/>
  <c r="AG788" i="119"/>
  <c r="AE788" i="119"/>
  <c r="Z788" i="119"/>
  <c r="AO787" i="119"/>
  <c r="AN787" i="119"/>
  <c r="AM787" i="119"/>
  <c r="AG787" i="119"/>
  <c r="AE787" i="119"/>
  <c r="Z787" i="119"/>
  <c r="AO786" i="119"/>
  <c r="AN786" i="119"/>
  <c r="AM786" i="119"/>
  <c r="AG786" i="119"/>
  <c r="AE786" i="119"/>
  <c r="Z786" i="119"/>
  <c r="AO785" i="119"/>
  <c r="AN785" i="119"/>
  <c r="AM785" i="119"/>
  <c r="AG785" i="119"/>
  <c r="AE785" i="119"/>
  <c r="Z785" i="119"/>
  <c r="AO784" i="119"/>
  <c r="AN784" i="119"/>
  <c r="AM784" i="119"/>
  <c r="AG784" i="119"/>
  <c r="AE784" i="119"/>
  <c r="Z784" i="119"/>
  <c r="AO783" i="119"/>
  <c r="AN783" i="119"/>
  <c r="AM783" i="119"/>
  <c r="AG783" i="119"/>
  <c r="AE783" i="119"/>
  <c r="Z783" i="119"/>
  <c r="AO782" i="119"/>
  <c r="AN782" i="119"/>
  <c r="AM782" i="119"/>
  <c r="AG782" i="119"/>
  <c r="AE782" i="119"/>
  <c r="Z782" i="119"/>
  <c r="AO781" i="119"/>
  <c r="AN781" i="119"/>
  <c r="AM781" i="119"/>
  <c r="AG781" i="119"/>
  <c r="AE781" i="119"/>
  <c r="Z781" i="119"/>
  <c r="AO780" i="119"/>
  <c r="AN780" i="119"/>
  <c r="AM780" i="119"/>
  <c r="AG780" i="119"/>
  <c r="AE780" i="119"/>
  <c r="Z780" i="119"/>
  <c r="AO779" i="119"/>
  <c r="AN779" i="119"/>
  <c r="AM779" i="119"/>
  <c r="AG779" i="119"/>
  <c r="AE779" i="119"/>
  <c r="Z779" i="119"/>
  <c r="AO778" i="119"/>
  <c r="AN778" i="119"/>
  <c r="AM778" i="119"/>
  <c r="AG778" i="119"/>
  <c r="AE778" i="119"/>
  <c r="Z778" i="119"/>
  <c r="AO777" i="119"/>
  <c r="AN777" i="119"/>
  <c r="AM777" i="119"/>
  <c r="AG777" i="119"/>
  <c r="AE777" i="119"/>
  <c r="Z777" i="119"/>
  <c r="AO776" i="119"/>
  <c r="AN776" i="119"/>
  <c r="AM776" i="119"/>
  <c r="AG776" i="119"/>
  <c r="AE776" i="119"/>
  <c r="Z776" i="119"/>
  <c r="AO775" i="119"/>
  <c r="AN775" i="119"/>
  <c r="AM775" i="119"/>
  <c r="AG775" i="119"/>
  <c r="AE775" i="119"/>
  <c r="Z775" i="119"/>
  <c r="AO774" i="119"/>
  <c r="AN774" i="119"/>
  <c r="AM774" i="119"/>
  <c r="AG774" i="119"/>
  <c r="AE774" i="119"/>
  <c r="Z774" i="119"/>
  <c r="AO773" i="119"/>
  <c r="AN773" i="119"/>
  <c r="AM773" i="119"/>
  <c r="AG773" i="119"/>
  <c r="AE773" i="119"/>
  <c r="Z773" i="119"/>
  <c r="AO772" i="119"/>
  <c r="AN772" i="119"/>
  <c r="AM772" i="119"/>
  <c r="AG772" i="119"/>
  <c r="AE772" i="119"/>
  <c r="Z772" i="119"/>
  <c r="AO771" i="119"/>
  <c r="AN771" i="119"/>
  <c r="AM771" i="119"/>
  <c r="AG771" i="119"/>
  <c r="AE771" i="119"/>
  <c r="Z771" i="119"/>
  <c r="AO770" i="119"/>
  <c r="AN770" i="119"/>
  <c r="AM770" i="119"/>
  <c r="AG770" i="119"/>
  <c r="AE770" i="119"/>
  <c r="Z770" i="119"/>
  <c r="AO769" i="119"/>
  <c r="AN769" i="119"/>
  <c r="AM769" i="119"/>
  <c r="AG769" i="119"/>
  <c r="AE769" i="119"/>
  <c r="Z769" i="119"/>
  <c r="AO768" i="119"/>
  <c r="AN768" i="119"/>
  <c r="AM768" i="119"/>
  <c r="AG768" i="119"/>
  <c r="AE768" i="119"/>
  <c r="Z768" i="119"/>
  <c r="AO767" i="119"/>
  <c r="AN767" i="119"/>
  <c r="AM767" i="119"/>
  <c r="AG767" i="119"/>
  <c r="AE767" i="119"/>
  <c r="Z767" i="119"/>
  <c r="AO766" i="119"/>
  <c r="AN766" i="119"/>
  <c r="AM766" i="119"/>
  <c r="AG766" i="119"/>
  <c r="AE766" i="119"/>
  <c r="Z766" i="119"/>
  <c r="AO765" i="119"/>
  <c r="AN765" i="119"/>
  <c r="AM765" i="119"/>
  <c r="AG765" i="119"/>
  <c r="AE765" i="119"/>
  <c r="Z765" i="119"/>
  <c r="AO764" i="119"/>
  <c r="AN764" i="119"/>
  <c r="AM764" i="119"/>
  <c r="AG764" i="119"/>
  <c r="AE764" i="119"/>
  <c r="Z764" i="119"/>
  <c r="AO763" i="119"/>
  <c r="AN763" i="119"/>
  <c r="AM763" i="119"/>
  <c r="AG763" i="119"/>
  <c r="AE763" i="119"/>
  <c r="Z763" i="119"/>
  <c r="AO762" i="119"/>
  <c r="AN762" i="119"/>
  <c r="AM762" i="119"/>
  <c r="AG762" i="119"/>
  <c r="AE762" i="119"/>
  <c r="Z762" i="119"/>
  <c r="AO761" i="119"/>
  <c r="AN761" i="119"/>
  <c r="AM761" i="119"/>
  <c r="AG761" i="119"/>
  <c r="AE761" i="119"/>
  <c r="Z761" i="119"/>
  <c r="AO760" i="119"/>
  <c r="AN760" i="119"/>
  <c r="AM760" i="119"/>
  <c r="AG760" i="119"/>
  <c r="AE760" i="119"/>
  <c r="Z760" i="119"/>
  <c r="AO759" i="119"/>
  <c r="AN759" i="119"/>
  <c r="AM759" i="119"/>
  <c r="AG759" i="119"/>
  <c r="AE759" i="119"/>
  <c r="Z759" i="119"/>
  <c r="AO758" i="119"/>
  <c r="AN758" i="119"/>
  <c r="AM758" i="119"/>
  <c r="AG758" i="119"/>
  <c r="AE758" i="119"/>
  <c r="Z758" i="119"/>
  <c r="AO757" i="119"/>
  <c r="AN757" i="119"/>
  <c r="AM757" i="119"/>
  <c r="AG757" i="119"/>
  <c r="AE757" i="119"/>
  <c r="Z757" i="119"/>
  <c r="AO756" i="119"/>
  <c r="AN756" i="119"/>
  <c r="AM756" i="119"/>
  <c r="AG756" i="119"/>
  <c r="AE756" i="119"/>
  <c r="Z756" i="119"/>
  <c r="AO755" i="119"/>
  <c r="AN755" i="119"/>
  <c r="AM755" i="119"/>
  <c r="AG755" i="119"/>
  <c r="AE755" i="119"/>
  <c r="Z755" i="119"/>
  <c r="AO754" i="119"/>
  <c r="AN754" i="119"/>
  <c r="AM754" i="119"/>
  <c r="AG754" i="119"/>
  <c r="AE754" i="119"/>
  <c r="Z754" i="119"/>
  <c r="AO753" i="119"/>
  <c r="AN753" i="119"/>
  <c r="AM753" i="119"/>
  <c r="AG753" i="119"/>
  <c r="AE753" i="119"/>
  <c r="Z753" i="119"/>
  <c r="AO752" i="119"/>
  <c r="AN752" i="119"/>
  <c r="AM752" i="119"/>
  <c r="AG752" i="119"/>
  <c r="AE752" i="119"/>
  <c r="Z752" i="119"/>
  <c r="AO751" i="119"/>
  <c r="AN751" i="119"/>
  <c r="AM751" i="119"/>
  <c r="AG751" i="119"/>
  <c r="AE751" i="119"/>
  <c r="Z751" i="119"/>
  <c r="AO750" i="119"/>
  <c r="AN750" i="119"/>
  <c r="AM750" i="119"/>
  <c r="AG750" i="119"/>
  <c r="AE750" i="119"/>
  <c r="Z750" i="119"/>
  <c r="AO749" i="119"/>
  <c r="AN749" i="119"/>
  <c r="AM749" i="119"/>
  <c r="AG749" i="119"/>
  <c r="AE749" i="119"/>
  <c r="Z749" i="119"/>
  <c r="AO748" i="119"/>
  <c r="AN748" i="119"/>
  <c r="AM748" i="119"/>
  <c r="AG748" i="119"/>
  <c r="AE748" i="119"/>
  <c r="Z748" i="119"/>
  <c r="AO747" i="119"/>
  <c r="AN747" i="119"/>
  <c r="AM747" i="119"/>
  <c r="AG747" i="119"/>
  <c r="AE747" i="119"/>
  <c r="Z747" i="119"/>
  <c r="AO746" i="119"/>
  <c r="AN746" i="119"/>
  <c r="AM746" i="119"/>
  <c r="AG746" i="119"/>
  <c r="AE746" i="119"/>
  <c r="Z746" i="119"/>
  <c r="AO745" i="119"/>
  <c r="AN745" i="119"/>
  <c r="AM745" i="119"/>
  <c r="AG745" i="119"/>
  <c r="AE745" i="119"/>
  <c r="Z745" i="119"/>
  <c r="AO744" i="119"/>
  <c r="AN744" i="119"/>
  <c r="AM744" i="119"/>
  <c r="AG744" i="119"/>
  <c r="AE744" i="119"/>
  <c r="Z744" i="119"/>
  <c r="AO743" i="119"/>
  <c r="AN743" i="119"/>
  <c r="AM743" i="119"/>
  <c r="AG743" i="119"/>
  <c r="AE743" i="119"/>
  <c r="Z743" i="119"/>
  <c r="AO742" i="119"/>
  <c r="AN742" i="119"/>
  <c r="AM742" i="119"/>
  <c r="AG742" i="119"/>
  <c r="AE742" i="119"/>
  <c r="Z742" i="119"/>
  <c r="AO741" i="119"/>
  <c r="AN741" i="119"/>
  <c r="AM741" i="119"/>
  <c r="AG741" i="119"/>
  <c r="AE741" i="119"/>
  <c r="Z741" i="119"/>
  <c r="AO740" i="119"/>
  <c r="AN740" i="119"/>
  <c r="AM740" i="119"/>
  <c r="AG740" i="119"/>
  <c r="AE740" i="119"/>
  <c r="Z740" i="119"/>
  <c r="AO739" i="119"/>
  <c r="AN739" i="119"/>
  <c r="AM739" i="119"/>
  <c r="AG739" i="119"/>
  <c r="AE739" i="119"/>
  <c r="Z739" i="119"/>
  <c r="AO738" i="119"/>
  <c r="AN738" i="119"/>
  <c r="AM738" i="119"/>
  <c r="AG738" i="119"/>
  <c r="AE738" i="119"/>
  <c r="Z738" i="119"/>
  <c r="AO737" i="119"/>
  <c r="AN737" i="119"/>
  <c r="AM737" i="119"/>
  <c r="AG737" i="119"/>
  <c r="AE737" i="119"/>
  <c r="Z737" i="119"/>
  <c r="AO736" i="119"/>
  <c r="AN736" i="119"/>
  <c r="AM736" i="119"/>
  <c r="AG736" i="119"/>
  <c r="AE736" i="119"/>
  <c r="Z736" i="119"/>
  <c r="AO735" i="119"/>
  <c r="AN735" i="119"/>
  <c r="AM735" i="119"/>
  <c r="AG735" i="119"/>
  <c r="AE735" i="119"/>
  <c r="Z735" i="119"/>
  <c r="AO734" i="119"/>
  <c r="AN734" i="119"/>
  <c r="AM734" i="119"/>
  <c r="AG734" i="119"/>
  <c r="AE734" i="119"/>
  <c r="Z734" i="119"/>
  <c r="AO733" i="119"/>
  <c r="AN733" i="119"/>
  <c r="AM733" i="119"/>
  <c r="AG733" i="119"/>
  <c r="AE733" i="119"/>
  <c r="Z733" i="119"/>
  <c r="AO732" i="119"/>
  <c r="AN732" i="119"/>
  <c r="AM732" i="119"/>
  <c r="AG732" i="119"/>
  <c r="AE732" i="119"/>
  <c r="Z732" i="119"/>
  <c r="AO731" i="119"/>
  <c r="AN731" i="119"/>
  <c r="AM731" i="119"/>
  <c r="AG731" i="119"/>
  <c r="AE731" i="119"/>
  <c r="Z731" i="119"/>
  <c r="AO730" i="119"/>
  <c r="AN730" i="119"/>
  <c r="AM730" i="119"/>
  <c r="AG730" i="119"/>
  <c r="AE730" i="119"/>
  <c r="Z730" i="119"/>
  <c r="AO729" i="119"/>
  <c r="AN729" i="119"/>
  <c r="AM729" i="119"/>
  <c r="AG729" i="119"/>
  <c r="AE729" i="119"/>
  <c r="Z729" i="119"/>
  <c r="AO728" i="119"/>
  <c r="AN728" i="119"/>
  <c r="AM728" i="119"/>
  <c r="AG728" i="119"/>
  <c r="AE728" i="119"/>
  <c r="Z728" i="119"/>
  <c r="AO727" i="119"/>
  <c r="AN727" i="119"/>
  <c r="AM727" i="119"/>
  <c r="AG727" i="119"/>
  <c r="AE727" i="119"/>
  <c r="Z727" i="119"/>
  <c r="AO726" i="119"/>
  <c r="AN726" i="119"/>
  <c r="AM726" i="119"/>
  <c r="AG726" i="119"/>
  <c r="AE726" i="119"/>
  <c r="Z726" i="119"/>
  <c r="AO725" i="119"/>
  <c r="AN725" i="119"/>
  <c r="AM725" i="119"/>
  <c r="AG725" i="119"/>
  <c r="AE725" i="119"/>
  <c r="Z725" i="119"/>
  <c r="AO724" i="119"/>
  <c r="AN724" i="119"/>
  <c r="AM724" i="119"/>
  <c r="AG724" i="119"/>
  <c r="AE724" i="119"/>
  <c r="Z724" i="119"/>
  <c r="AO723" i="119"/>
  <c r="AN723" i="119"/>
  <c r="AM723" i="119"/>
  <c r="AG723" i="119"/>
  <c r="AE723" i="119"/>
  <c r="Z723" i="119"/>
  <c r="AO722" i="119"/>
  <c r="AN722" i="119"/>
  <c r="AM722" i="119"/>
  <c r="AG722" i="119"/>
  <c r="AE722" i="119"/>
  <c r="Z722" i="119"/>
  <c r="AO721" i="119"/>
  <c r="AN721" i="119"/>
  <c r="AM721" i="119"/>
  <c r="AG721" i="119"/>
  <c r="AE721" i="119"/>
  <c r="Z721" i="119"/>
  <c r="AO720" i="119"/>
  <c r="AN720" i="119"/>
  <c r="AM720" i="119"/>
  <c r="AG720" i="119"/>
  <c r="AE720" i="119"/>
  <c r="Z720" i="119"/>
  <c r="AO719" i="119"/>
  <c r="AN719" i="119"/>
  <c r="AM719" i="119"/>
  <c r="AG719" i="119"/>
  <c r="AE719" i="119"/>
  <c r="Z719" i="119"/>
  <c r="AO718" i="119"/>
  <c r="AN718" i="119"/>
  <c r="AM718" i="119"/>
  <c r="AG718" i="119"/>
  <c r="AE718" i="119"/>
  <c r="Z718" i="119"/>
  <c r="AO717" i="119"/>
  <c r="AN717" i="119"/>
  <c r="AM717" i="119"/>
  <c r="AG717" i="119"/>
  <c r="AE717" i="119"/>
  <c r="Z717" i="119"/>
  <c r="AO716" i="119"/>
  <c r="AN716" i="119"/>
  <c r="AM716" i="119"/>
  <c r="AG716" i="119"/>
  <c r="AE716" i="119"/>
  <c r="Z716" i="119"/>
  <c r="AO715" i="119"/>
  <c r="AN715" i="119"/>
  <c r="AM715" i="119"/>
  <c r="AG715" i="119"/>
  <c r="AE715" i="119"/>
  <c r="Z715" i="119"/>
  <c r="AO714" i="119"/>
  <c r="AN714" i="119"/>
  <c r="AM714" i="119"/>
  <c r="AG714" i="119"/>
  <c r="AE714" i="119"/>
  <c r="Z714" i="119"/>
  <c r="AO713" i="119"/>
  <c r="AN713" i="119"/>
  <c r="AM713" i="119"/>
  <c r="AG713" i="119"/>
  <c r="AE713" i="119"/>
  <c r="Z713" i="119"/>
  <c r="AO712" i="119"/>
  <c r="AN712" i="119"/>
  <c r="AM712" i="119"/>
  <c r="AG712" i="119"/>
  <c r="AE712" i="119"/>
  <c r="Z712" i="119"/>
  <c r="AO711" i="119"/>
  <c r="AN711" i="119"/>
  <c r="AM711" i="119"/>
  <c r="AG711" i="119"/>
  <c r="AE711" i="119"/>
  <c r="Z711" i="119"/>
  <c r="AO710" i="119"/>
  <c r="AN710" i="119"/>
  <c r="AM710" i="119"/>
  <c r="AG710" i="119"/>
  <c r="AE710" i="119"/>
  <c r="Z710" i="119"/>
  <c r="AO709" i="119"/>
  <c r="AN709" i="119"/>
  <c r="AM709" i="119"/>
  <c r="AG709" i="119"/>
  <c r="AE709" i="119"/>
  <c r="Z709" i="119"/>
  <c r="AO708" i="119"/>
  <c r="AN708" i="119"/>
  <c r="AM708" i="119"/>
  <c r="AG708" i="119"/>
  <c r="AE708" i="119"/>
  <c r="Z708" i="119"/>
  <c r="AO707" i="119"/>
  <c r="AN707" i="119"/>
  <c r="AM707" i="119"/>
  <c r="AG707" i="119"/>
  <c r="AE707" i="119"/>
  <c r="Z707" i="119"/>
  <c r="AO706" i="119"/>
  <c r="AN706" i="119"/>
  <c r="AM706" i="119"/>
  <c r="AG706" i="119"/>
  <c r="AE706" i="119"/>
  <c r="Z706" i="119"/>
  <c r="AO705" i="119"/>
  <c r="AN705" i="119"/>
  <c r="AM705" i="119"/>
  <c r="AG705" i="119"/>
  <c r="AE705" i="119"/>
  <c r="Z705" i="119"/>
  <c r="AO704" i="119"/>
  <c r="AN704" i="119"/>
  <c r="AM704" i="119"/>
  <c r="AG704" i="119"/>
  <c r="AE704" i="119"/>
  <c r="Z704" i="119"/>
  <c r="AO703" i="119"/>
  <c r="AN703" i="119"/>
  <c r="AM703" i="119"/>
  <c r="AG703" i="119"/>
  <c r="AE703" i="119"/>
  <c r="Z703" i="119"/>
  <c r="AO702" i="119"/>
  <c r="AN702" i="119"/>
  <c r="AM702" i="119"/>
  <c r="AG702" i="119"/>
  <c r="AE702" i="119"/>
  <c r="Z702" i="119"/>
  <c r="AO701" i="119"/>
  <c r="AN701" i="119"/>
  <c r="AM701" i="119"/>
  <c r="AG701" i="119"/>
  <c r="AE701" i="119"/>
  <c r="Z701" i="119"/>
  <c r="AO700" i="119"/>
  <c r="AN700" i="119"/>
  <c r="AM700" i="119"/>
  <c r="AG700" i="119"/>
  <c r="AE700" i="119"/>
  <c r="Z700" i="119"/>
  <c r="AO699" i="119"/>
  <c r="AN699" i="119"/>
  <c r="AM699" i="119"/>
  <c r="AG699" i="119"/>
  <c r="AE699" i="119"/>
  <c r="Z699" i="119"/>
  <c r="AO698" i="119"/>
  <c r="AN698" i="119"/>
  <c r="AM698" i="119"/>
  <c r="AG698" i="119"/>
  <c r="AE698" i="119"/>
  <c r="Z698" i="119"/>
  <c r="AO697" i="119"/>
  <c r="AN697" i="119"/>
  <c r="AM697" i="119"/>
  <c r="AG697" i="119"/>
  <c r="AE697" i="119"/>
  <c r="Z697" i="119"/>
  <c r="AO696" i="119"/>
  <c r="AN696" i="119"/>
  <c r="AM696" i="119"/>
  <c r="AG696" i="119"/>
  <c r="AE696" i="119"/>
  <c r="Z696" i="119"/>
  <c r="AO695" i="119"/>
  <c r="AN695" i="119"/>
  <c r="AM695" i="119"/>
  <c r="AG695" i="119"/>
  <c r="AE695" i="119"/>
  <c r="Z695" i="119"/>
  <c r="AO694" i="119"/>
  <c r="AN694" i="119"/>
  <c r="AM694" i="119"/>
  <c r="AG694" i="119"/>
  <c r="AE694" i="119"/>
  <c r="Z694" i="119"/>
  <c r="AO693" i="119"/>
  <c r="AN693" i="119"/>
  <c r="AM693" i="119"/>
  <c r="AG693" i="119"/>
  <c r="AE693" i="119"/>
  <c r="Z693" i="119"/>
  <c r="AO692" i="119"/>
  <c r="AN692" i="119"/>
  <c r="AM692" i="119"/>
  <c r="AG692" i="119"/>
  <c r="AE692" i="119"/>
  <c r="Z692" i="119"/>
  <c r="AO691" i="119"/>
  <c r="AN691" i="119"/>
  <c r="AM691" i="119"/>
  <c r="AG691" i="119"/>
  <c r="AE691" i="119"/>
  <c r="Z691" i="119"/>
  <c r="AO690" i="119"/>
  <c r="AN690" i="119"/>
  <c r="AM690" i="119"/>
  <c r="AG690" i="119"/>
  <c r="AE690" i="119"/>
  <c r="Z690" i="119"/>
  <c r="AO689" i="119"/>
  <c r="AN689" i="119"/>
  <c r="AM689" i="119"/>
  <c r="AG689" i="119"/>
  <c r="AE689" i="119"/>
  <c r="Z689" i="119"/>
  <c r="AO688" i="119"/>
  <c r="AN688" i="119"/>
  <c r="AM688" i="119"/>
  <c r="AG688" i="119"/>
  <c r="AE688" i="119"/>
  <c r="Z688" i="119"/>
  <c r="AO687" i="119"/>
  <c r="AN687" i="119"/>
  <c r="AM687" i="119"/>
  <c r="AG687" i="119"/>
  <c r="AE687" i="119"/>
  <c r="Z687" i="119"/>
  <c r="AO686" i="119"/>
  <c r="AN686" i="119"/>
  <c r="AM686" i="119"/>
  <c r="AG686" i="119"/>
  <c r="AE686" i="119"/>
  <c r="Z686" i="119"/>
  <c r="AO685" i="119"/>
  <c r="AN685" i="119"/>
  <c r="AM685" i="119"/>
  <c r="AG685" i="119"/>
  <c r="AE685" i="119"/>
  <c r="Z685" i="119"/>
  <c r="AO684" i="119"/>
  <c r="AN684" i="119"/>
  <c r="AM684" i="119"/>
  <c r="AG684" i="119"/>
  <c r="AE684" i="119"/>
  <c r="Z684" i="119"/>
  <c r="AO683" i="119"/>
  <c r="AN683" i="119"/>
  <c r="AM683" i="119"/>
  <c r="AG683" i="119"/>
  <c r="AE683" i="119"/>
  <c r="Z683" i="119"/>
  <c r="AO682" i="119"/>
  <c r="AN682" i="119"/>
  <c r="AM682" i="119"/>
  <c r="AG682" i="119"/>
  <c r="AE682" i="119"/>
  <c r="Z682" i="119"/>
  <c r="AO681" i="119"/>
  <c r="AN681" i="119"/>
  <c r="AM681" i="119"/>
  <c r="AG681" i="119"/>
  <c r="AE681" i="119"/>
  <c r="Z681" i="119"/>
  <c r="AO680" i="119"/>
  <c r="AN680" i="119"/>
  <c r="AM680" i="119"/>
  <c r="AG680" i="119"/>
  <c r="AE680" i="119"/>
  <c r="Z680" i="119"/>
  <c r="AO679" i="119"/>
  <c r="AN679" i="119"/>
  <c r="AM679" i="119"/>
  <c r="AG679" i="119"/>
  <c r="AE679" i="119"/>
  <c r="Z679" i="119"/>
  <c r="AO678" i="119"/>
  <c r="AN678" i="119"/>
  <c r="AM678" i="119"/>
  <c r="AG678" i="119"/>
  <c r="AE678" i="119"/>
  <c r="Z678" i="119"/>
  <c r="AO677" i="119"/>
  <c r="AN677" i="119"/>
  <c r="AM677" i="119"/>
  <c r="AG677" i="119"/>
  <c r="AE677" i="119"/>
  <c r="Z677" i="119"/>
  <c r="AO676" i="119"/>
  <c r="AN676" i="119"/>
  <c r="AM676" i="119"/>
  <c r="AG676" i="119"/>
  <c r="AE676" i="119"/>
  <c r="Z676" i="119"/>
  <c r="AO675" i="119"/>
  <c r="AN675" i="119"/>
  <c r="AM675" i="119"/>
  <c r="AG675" i="119"/>
  <c r="AE675" i="119"/>
  <c r="Z675" i="119"/>
  <c r="AO674" i="119"/>
  <c r="AN674" i="119"/>
  <c r="AM674" i="119"/>
  <c r="AG674" i="119"/>
  <c r="AE674" i="119"/>
  <c r="Z674" i="119"/>
  <c r="AO673" i="119"/>
  <c r="AN673" i="119"/>
  <c r="AM673" i="119"/>
  <c r="AG673" i="119"/>
  <c r="AE673" i="119"/>
  <c r="Z673" i="119"/>
  <c r="AO672" i="119"/>
  <c r="AN672" i="119"/>
  <c r="AM672" i="119"/>
  <c r="AG672" i="119"/>
  <c r="AE672" i="119"/>
  <c r="Z672" i="119"/>
  <c r="AO671" i="119"/>
  <c r="AN671" i="119"/>
  <c r="AM671" i="119"/>
  <c r="AG671" i="119"/>
  <c r="AE671" i="119"/>
  <c r="Z671" i="119"/>
  <c r="AO670" i="119"/>
  <c r="AN670" i="119"/>
  <c r="AM670" i="119"/>
  <c r="AG670" i="119"/>
  <c r="AE670" i="119"/>
  <c r="Z670" i="119"/>
  <c r="AO669" i="119"/>
  <c r="AN669" i="119"/>
  <c r="AM669" i="119"/>
  <c r="AG669" i="119"/>
  <c r="AE669" i="119"/>
  <c r="Z669" i="119"/>
  <c r="AO668" i="119"/>
  <c r="AN668" i="119"/>
  <c r="AM668" i="119"/>
  <c r="AG668" i="119"/>
  <c r="AE668" i="119"/>
  <c r="Z668" i="119"/>
  <c r="AO667" i="119"/>
  <c r="AN667" i="119"/>
  <c r="AM667" i="119"/>
  <c r="AG667" i="119"/>
  <c r="AE667" i="119"/>
  <c r="Z667" i="119"/>
  <c r="AO666" i="119"/>
  <c r="AN666" i="119"/>
  <c r="AM666" i="119"/>
  <c r="AG666" i="119"/>
  <c r="AE666" i="119"/>
  <c r="Z666" i="119"/>
  <c r="AO665" i="119"/>
  <c r="AN665" i="119"/>
  <c r="AM665" i="119"/>
  <c r="AG665" i="119"/>
  <c r="AE665" i="119"/>
  <c r="Z665" i="119"/>
  <c r="AO664" i="119"/>
  <c r="AN664" i="119"/>
  <c r="AM664" i="119"/>
  <c r="AG664" i="119"/>
  <c r="AE664" i="119"/>
  <c r="Z664" i="119"/>
  <c r="AO663" i="119"/>
  <c r="AN663" i="119"/>
  <c r="AM663" i="119"/>
  <c r="AG663" i="119"/>
  <c r="AE663" i="119"/>
  <c r="Z663" i="119"/>
  <c r="AO662" i="119"/>
  <c r="AN662" i="119"/>
  <c r="AM662" i="119"/>
  <c r="AG662" i="119"/>
  <c r="AE662" i="119"/>
  <c r="Z662" i="119"/>
  <c r="AO661" i="119"/>
  <c r="AN661" i="119"/>
  <c r="AM661" i="119"/>
  <c r="AG661" i="119"/>
  <c r="AE661" i="119"/>
  <c r="Z661" i="119"/>
  <c r="AO660" i="119"/>
  <c r="AN660" i="119"/>
  <c r="AM660" i="119"/>
  <c r="AG660" i="119"/>
  <c r="AE660" i="119"/>
  <c r="Z660" i="119"/>
  <c r="AO659" i="119"/>
  <c r="AN659" i="119"/>
  <c r="AM659" i="119"/>
  <c r="AG659" i="119"/>
  <c r="AE659" i="119"/>
  <c r="Z659" i="119"/>
  <c r="AO658" i="119"/>
  <c r="AN658" i="119"/>
  <c r="AM658" i="119"/>
  <c r="AG658" i="119"/>
  <c r="AE658" i="119"/>
  <c r="Z658" i="119"/>
  <c r="AO657" i="119"/>
  <c r="AN657" i="119"/>
  <c r="AM657" i="119"/>
  <c r="AG657" i="119"/>
  <c r="AE657" i="119"/>
  <c r="Z657" i="119"/>
  <c r="AO656" i="119"/>
  <c r="AN656" i="119"/>
  <c r="AM656" i="119"/>
  <c r="AG656" i="119"/>
  <c r="AE656" i="119"/>
  <c r="Z656" i="119"/>
  <c r="AO655" i="119"/>
  <c r="AN655" i="119"/>
  <c r="AM655" i="119"/>
  <c r="AG655" i="119"/>
  <c r="AE655" i="119"/>
  <c r="Z655" i="119"/>
  <c r="AO654" i="119"/>
  <c r="AN654" i="119"/>
  <c r="AM654" i="119"/>
  <c r="AG654" i="119"/>
  <c r="AE654" i="119"/>
  <c r="Z654" i="119"/>
  <c r="AO653" i="119"/>
  <c r="AN653" i="119"/>
  <c r="AM653" i="119"/>
  <c r="AG653" i="119"/>
  <c r="AE653" i="119"/>
  <c r="Z653" i="119"/>
  <c r="AO652" i="119"/>
  <c r="AN652" i="119"/>
  <c r="AM652" i="119"/>
  <c r="AG652" i="119"/>
  <c r="AE652" i="119"/>
  <c r="Z652" i="119"/>
  <c r="AO651" i="119"/>
  <c r="AN651" i="119"/>
  <c r="AM651" i="119"/>
  <c r="AG651" i="119"/>
  <c r="AE651" i="119"/>
  <c r="Z651" i="119"/>
  <c r="AO650" i="119"/>
  <c r="AN650" i="119"/>
  <c r="AM650" i="119"/>
  <c r="AG650" i="119"/>
  <c r="AE650" i="119"/>
  <c r="Z650" i="119"/>
  <c r="AO649" i="119"/>
  <c r="AN649" i="119"/>
  <c r="AM649" i="119"/>
  <c r="AG649" i="119"/>
  <c r="AE649" i="119"/>
  <c r="Z649" i="119"/>
  <c r="AO648" i="119"/>
  <c r="AN648" i="119"/>
  <c r="AM648" i="119"/>
  <c r="AG648" i="119"/>
  <c r="AE648" i="119"/>
  <c r="Z648" i="119"/>
  <c r="AO647" i="119"/>
  <c r="AN647" i="119"/>
  <c r="AM647" i="119"/>
  <c r="AG647" i="119"/>
  <c r="AE647" i="119"/>
  <c r="Z647" i="119"/>
  <c r="AO646" i="119"/>
  <c r="AN646" i="119"/>
  <c r="AM646" i="119"/>
  <c r="AG646" i="119"/>
  <c r="AE646" i="119"/>
  <c r="Z646" i="119"/>
  <c r="AO645" i="119"/>
  <c r="AN645" i="119"/>
  <c r="AM645" i="119"/>
  <c r="AG645" i="119"/>
  <c r="AE645" i="119"/>
  <c r="Z645" i="119"/>
  <c r="AO644" i="119"/>
  <c r="AN644" i="119"/>
  <c r="AM644" i="119"/>
  <c r="AG644" i="119"/>
  <c r="AE644" i="119"/>
  <c r="Z644" i="119"/>
  <c r="AO643" i="119"/>
  <c r="AN643" i="119"/>
  <c r="AM643" i="119"/>
  <c r="AG643" i="119"/>
  <c r="AE643" i="119"/>
  <c r="Z643" i="119"/>
  <c r="AO642" i="119"/>
  <c r="AN642" i="119"/>
  <c r="AM642" i="119"/>
  <c r="AG642" i="119"/>
  <c r="AE642" i="119"/>
  <c r="Z642" i="119"/>
  <c r="AO641" i="119"/>
  <c r="AN641" i="119"/>
  <c r="AM641" i="119"/>
  <c r="AG641" i="119"/>
  <c r="AE641" i="119"/>
  <c r="Z641" i="119"/>
  <c r="AO640" i="119"/>
  <c r="AN640" i="119"/>
  <c r="AM640" i="119"/>
  <c r="AG640" i="119"/>
  <c r="AE640" i="119"/>
  <c r="Z640" i="119"/>
  <c r="AO639" i="119"/>
  <c r="AN639" i="119"/>
  <c r="AM639" i="119"/>
  <c r="AG639" i="119"/>
  <c r="AE639" i="119"/>
  <c r="Z639" i="119"/>
  <c r="AO638" i="119"/>
  <c r="AN638" i="119"/>
  <c r="AM638" i="119"/>
  <c r="AG638" i="119"/>
  <c r="AE638" i="119"/>
  <c r="Z638" i="119"/>
  <c r="AO637" i="119"/>
  <c r="AN637" i="119"/>
  <c r="AM637" i="119"/>
  <c r="AG637" i="119"/>
  <c r="AE637" i="119"/>
  <c r="Z637" i="119"/>
  <c r="AO636" i="119"/>
  <c r="AN636" i="119"/>
  <c r="AM636" i="119"/>
  <c r="AG636" i="119"/>
  <c r="AE636" i="119"/>
  <c r="Z636" i="119"/>
  <c r="AO635" i="119"/>
  <c r="AN635" i="119"/>
  <c r="AM635" i="119"/>
  <c r="AG635" i="119"/>
  <c r="AE635" i="119"/>
  <c r="Z635" i="119"/>
  <c r="AO634" i="119"/>
  <c r="AN634" i="119"/>
  <c r="AM634" i="119"/>
  <c r="AG634" i="119"/>
  <c r="AE634" i="119"/>
  <c r="Z634" i="119"/>
  <c r="AO633" i="119"/>
  <c r="AN633" i="119"/>
  <c r="AM633" i="119"/>
  <c r="AG633" i="119"/>
  <c r="AE633" i="119"/>
  <c r="Z633" i="119"/>
  <c r="AO632" i="119"/>
  <c r="AN632" i="119"/>
  <c r="AM632" i="119"/>
  <c r="AG632" i="119"/>
  <c r="AE632" i="119"/>
  <c r="Z632" i="119"/>
  <c r="AO631" i="119"/>
  <c r="AN631" i="119"/>
  <c r="AM631" i="119"/>
  <c r="AG631" i="119"/>
  <c r="AE631" i="119"/>
  <c r="Z631" i="119"/>
  <c r="AO630" i="119"/>
  <c r="AN630" i="119"/>
  <c r="AM630" i="119"/>
  <c r="AG630" i="119"/>
  <c r="AE630" i="119"/>
  <c r="Z630" i="119"/>
  <c r="AO629" i="119"/>
  <c r="AN629" i="119"/>
  <c r="AM629" i="119"/>
  <c r="AG629" i="119"/>
  <c r="AE629" i="119"/>
  <c r="Z629" i="119"/>
  <c r="AO628" i="119"/>
  <c r="AN628" i="119"/>
  <c r="AM628" i="119"/>
  <c r="AG628" i="119"/>
  <c r="AE628" i="119"/>
  <c r="Z628" i="119"/>
  <c r="AO627" i="119"/>
  <c r="AN627" i="119"/>
  <c r="AM627" i="119"/>
  <c r="AG627" i="119"/>
  <c r="AE627" i="119"/>
  <c r="Z627" i="119"/>
  <c r="AO626" i="119"/>
  <c r="AN626" i="119"/>
  <c r="AM626" i="119"/>
  <c r="AG626" i="119"/>
  <c r="AE626" i="119"/>
  <c r="Z626" i="119"/>
  <c r="AO625" i="119"/>
  <c r="AN625" i="119"/>
  <c r="AM625" i="119"/>
  <c r="AG625" i="119"/>
  <c r="AE625" i="119"/>
  <c r="Z625" i="119"/>
  <c r="AO624" i="119"/>
  <c r="AN624" i="119"/>
  <c r="AM624" i="119"/>
  <c r="AG624" i="119"/>
  <c r="AE624" i="119"/>
  <c r="Z624" i="119"/>
  <c r="AO623" i="119"/>
  <c r="AN623" i="119"/>
  <c r="AM623" i="119"/>
  <c r="AG623" i="119"/>
  <c r="AE623" i="119"/>
  <c r="Z623" i="119"/>
  <c r="AO622" i="119"/>
  <c r="AN622" i="119"/>
  <c r="AM622" i="119"/>
  <c r="AG622" i="119"/>
  <c r="AE622" i="119"/>
  <c r="Z622" i="119"/>
  <c r="AO621" i="119"/>
  <c r="AN621" i="119"/>
  <c r="AM621" i="119"/>
  <c r="AG621" i="119"/>
  <c r="AE621" i="119"/>
  <c r="Z621" i="119"/>
  <c r="AO620" i="119"/>
  <c r="AN620" i="119"/>
  <c r="AM620" i="119"/>
  <c r="AG620" i="119"/>
  <c r="AE620" i="119"/>
  <c r="Z620" i="119"/>
  <c r="AO619" i="119"/>
  <c r="AN619" i="119"/>
  <c r="AM619" i="119"/>
  <c r="AG619" i="119"/>
  <c r="AE619" i="119"/>
  <c r="Z619" i="119"/>
  <c r="AO618" i="119"/>
  <c r="AN618" i="119"/>
  <c r="AM618" i="119"/>
  <c r="AG618" i="119"/>
  <c r="AE618" i="119"/>
  <c r="Z618" i="119"/>
  <c r="AO617" i="119"/>
  <c r="AN617" i="119"/>
  <c r="AM617" i="119"/>
  <c r="AG617" i="119"/>
  <c r="AE617" i="119"/>
  <c r="Z617" i="119"/>
  <c r="AO616" i="119"/>
  <c r="AN616" i="119"/>
  <c r="AM616" i="119"/>
  <c r="AG616" i="119"/>
  <c r="AE616" i="119"/>
  <c r="Z616" i="119"/>
  <c r="AO615" i="119"/>
  <c r="AN615" i="119"/>
  <c r="AM615" i="119"/>
  <c r="AG615" i="119"/>
  <c r="AE615" i="119"/>
  <c r="Z615" i="119"/>
  <c r="AO614" i="119"/>
  <c r="AN614" i="119"/>
  <c r="AM614" i="119"/>
  <c r="AG614" i="119"/>
  <c r="AE614" i="119"/>
  <c r="Z614" i="119"/>
  <c r="AO613" i="119"/>
  <c r="AN613" i="119"/>
  <c r="AM613" i="119"/>
  <c r="AG613" i="119"/>
  <c r="AE613" i="119"/>
  <c r="Z613" i="119"/>
  <c r="AO612" i="119"/>
  <c r="AN612" i="119"/>
  <c r="AM612" i="119"/>
  <c r="AG612" i="119"/>
  <c r="AE612" i="119"/>
  <c r="Z612" i="119"/>
  <c r="AO611" i="119"/>
  <c r="AN611" i="119"/>
  <c r="AM611" i="119"/>
  <c r="AG611" i="119"/>
  <c r="AE611" i="119"/>
  <c r="Z611" i="119"/>
  <c r="AO610" i="119"/>
  <c r="AN610" i="119"/>
  <c r="AM610" i="119"/>
  <c r="AG610" i="119"/>
  <c r="AE610" i="119"/>
  <c r="Z610" i="119"/>
  <c r="AO609" i="119"/>
  <c r="AN609" i="119"/>
  <c r="AM609" i="119"/>
  <c r="AG609" i="119"/>
  <c r="AE609" i="119"/>
  <c r="Z609" i="119"/>
  <c r="AO608" i="119"/>
  <c r="AN608" i="119"/>
  <c r="AM608" i="119"/>
  <c r="AG608" i="119"/>
  <c r="AE608" i="119"/>
  <c r="Z608" i="119"/>
  <c r="AO607" i="119"/>
  <c r="AN607" i="119"/>
  <c r="AM607" i="119"/>
  <c r="AG607" i="119"/>
  <c r="AE607" i="119"/>
  <c r="Z607" i="119"/>
  <c r="AO606" i="119"/>
  <c r="AN606" i="119"/>
  <c r="AM606" i="119"/>
  <c r="AG606" i="119"/>
  <c r="AE606" i="119"/>
  <c r="Z606" i="119"/>
  <c r="AO605" i="119"/>
  <c r="AN605" i="119"/>
  <c r="AM605" i="119"/>
  <c r="AG605" i="119"/>
  <c r="AE605" i="119"/>
  <c r="Z605" i="119"/>
  <c r="AO604" i="119"/>
  <c r="AN604" i="119"/>
  <c r="AM604" i="119"/>
  <c r="AG604" i="119"/>
  <c r="AE604" i="119"/>
  <c r="Z604" i="119"/>
  <c r="AO603" i="119"/>
  <c r="AN603" i="119"/>
  <c r="AM603" i="119"/>
  <c r="AG603" i="119"/>
  <c r="AE603" i="119"/>
  <c r="Z603" i="119"/>
  <c r="AO602" i="119"/>
  <c r="AN602" i="119"/>
  <c r="AM602" i="119"/>
  <c r="AG602" i="119"/>
  <c r="AE602" i="119"/>
  <c r="Z602" i="119"/>
  <c r="AO601" i="119"/>
  <c r="AN601" i="119"/>
  <c r="AM601" i="119"/>
  <c r="AG601" i="119"/>
  <c r="AE601" i="119"/>
  <c r="Z601" i="119"/>
  <c r="AO600" i="119"/>
  <c r="AN600" i="119"/>
  <c r="AM600" i="119"/>
  <c r="AG600" i="119"/>
  <c r="AE600" i="119"/>
  <c r="Z600" i="119"/>
  <c r="AO599" i="119"/>
  <c r="AN599" i="119"/>
  <c r="AM599" i="119"/>
  <c r="AG599" i="119"/>
  <c r="AE599" i="119"/>
  <c r="Z599" i="119"/>
  <c r="AO598" i="119"/>
  <c r="AN598" i="119"/>
  <c r="AM598" i="119"/>
  <c r="AG598" i="119"/>
  <c r="AE598" i="119"/>
  <c r="Z598" i="119"/>
  <c r="AO597" i="119"/>
  <c r="AN597" i="119"/>
  <c r="AM597" i="119"/>
  <c r="AG597" i="119"/>
  <c r="AE597" i="119"/>
  <c r="Z597" i="119"/>
  <c r="AO596" i="119"/>
  <c r="AN596" i="119"/>
  <c r="AM596" i="119"/>
  <c r="AG596" i="119"/>
  <c r="AE596" i="119"/>
  <c r="Z596" i="119"/>
  <c r="AO595" i="119"/>
  <c r="AN595" i="119"/>
  <c r="AM595" i="119"/>
  <c r="AG595" i="119"/>
  <c r="AE595" i="119"/>
  <c r="Z595" i="119"/>
  <c r="AO594" i="119"/>
  <c r="AN594" i="119"/>
  <c r="AM594" i="119"/>
  <c r="AG594" i="119"/>
  <c r="AE594" i="119"/>
  <c r="Z594" i="119"/>
  <c r="AO593" i="119"/>
  <c r="AN593" i="119"/>
  <c r="AM593" i="119"/>
  <c r="AG593" i="119"/>
  <c r="AE593" i="119"/>
  <c r="Z593" i="119"/>
  <c r="AO592" i="119"/>
  <c r="AN592" i="119"/>
  <c r="AM592" i="119"/>
  <c r="AG592" i="119"/>
  <c r="AE592" i="119"/>
  <c r="Z592" i="119"/>
  <c r="AO591" i="119"/>
  <c r="AN591" i="119"/>
  <c r="AM591" i="119"/>
  <c r="AG591" i="119"/>
  <c r="AE591" i="119"/>
  <c r="Z591" i="119"/>
  <c r="AO590" i="119"/>
  <c r="AN590" i="119"/>
  <c r="AM590" i="119"/>
  <c r="AG590" i="119"/>
  <c r="AE590" i="119"/>
  <c r="Z590" i="119"/>
  <c r="AO589" i="119"/>
  <c r="AN589" i="119"/>
  <c r="AM589" i="119"/>
  <c r="AG589" i="119"/>
  <c r="AE589" i="119"/>
  <c r="Z589" i="119"/>
  <c r="AO588" i="119"/>
  <c r="AN588" i="119"/>
  <c r="AM588" i="119"/>
  <c r="AG588" i="119"/>
  <c r="AE588" i="119"/>
  <c r="Z588" i="119"/>
  <c r="AO587" i="119"/>
  <c r="AN587" i="119"/>
  <c r="AM587" i="119"/>
  <c r="AG587" i="119"/>
  <c r="AE587" i="119"/>
  <c r="Z587" i="119"/>
  <c r="AO586" i="119"/>
  <c r="AN586" i="119"/>
  <c r="AM586" i="119"/>
  <c r="AG586" i="119"/>
  <c r="AE586" i="119"/>
  <c r="Z586" i="119"/>
  <c r="AO585" i="119"/>
  <c r="AN585" i="119"/>
  <c r="AM585" i="119"/>
  <c r="AG585" i="119"/>
  <c r="AE585" i="119"/>
  <c r="Z585" i="119"/>
  <c r="AO584" i="119"/>
  <c r="AN584" i="119"/>
  <c r="AM584" i="119"/>
  <c r="AG584" i="119"/>
  <c r="AE584" i="119"/>
  <c r="Z584" i="119"/>
  <c r="AO583" i="119"/>
  <c r="AN583" i="119"/>
  <c r="AM583" i="119"/>
  <c r="AG583" i="119"/>
  <c r="AE583" i="119"/>
  <c r="Z583" i="119"/>
  <c r="AO582" i="119"/>
  <c r="AN582" i="119"/>
  <c r="AM582" i="119"/>
  <c r="AG582" i="119"/>
  <c r="AE582" i="119"/>
  <c r="Z582" i="119"/>
  <c r="AO581" i="119"/>
  <c r="AN581" i="119"/>
  <c r="AM581" i="119"/>
  <c r="AG581" i="119"/>
  <c r="AE581" i="119"/>
  <c r="Z581" i="119"/>
  <c r="AO580" i="119"/>
  <c r="AN580" i="119"/>
  <c r="AM580" i="119"/>
  <c r="AG580" i="119"/>
  <c r="AE580" i="119"/>
  <c r="Z580" i="119"/>
  <c r="AO579" i="119"/>
  <c r="AN579" i="119"/>
  <c r="AM579" i="119"/>
  <c r="AG579" i="119"/>
  <c r="AE579" i="119"/>
  <c r="Z579" i="119"/>
  <c r="AO578" i="119"/>
  <c r="AN578" i="119"/>
  <c r="AM578" i="119"/>
  <c r="AG578" i="119"/>
  <c r="AE578" i="119"/>
  <c r="Z578" i="119"/>
  <c r="AO577" i="119"/>
  <c r="AN577" i="119"/>
  <c r="AM577" i="119"/>
  <c r="AG577" i="119"/>
  <c r="AE577" i="119"/>
  <c r="Z577" i="119"/>
  <c r="AO576" i="119"/>
  <c r="AN576" i="119"/>
  <c r="AM576" i="119"/>
  <c r="AG576" i="119"/>
  <c r="AE576" i="119"/>
  <c r="Z576" i="119"/>
  <c r="AO575" i="119"/>
  <c r="AN575" i="119"/>
  <c r="AM575" i="119"/>
  <c r="AG575" i="119"/>
  <c r="AE575" i="119"/>
  <c r="Z575" i="119"/>
  <c r="AO574" i="119"/>
  <c r="AN574" i="119"/>
  <c r="AM574" i="119"/>
  <c r="AG574" i="119"/>
  <c r="AE574" i="119"/>
  <c r="Z574" i="119"/>
  <c r="AO573" i="119"/>
  <c r="AN573" i="119"/>
  <c r="AM573" i="119"/>
  <c r="AG573" i="119"/>
  <c r="AE573" i="119"/>
  <c r="Z573" i="119"/>
  <c r="AO572" i="119"/>
  <c r="AN572" i="119"/>
  <c r="AM572" i="119"/>
  <c r="AG572" i="119"/>
  <c r="AE572" i="119"/>
  <c r="Z572" i="119"/>
  <c r="AO571" i="119"/>
  <c r="AN571" i="119"/>
  <c r="AM571" i="119"/>
  <c r="AG571" i="119"/>
  <c r="AE571" i="119"/>
  <c r="Z571" i="119"/>
  <c r="AO570" i="119"/>
  <c r="AN570" i="119"/>
  <c r="AM570" i="119"/>
  <c r="AG570" i="119"/>
  <c r="AE570" i="119"/>
  <c r="Z570" i="119"/>
  <c r="AO569" i="119"/>
  <c r="AN569" i="119"/>
  <c r="AM569" i="119"/>
  <c r="AG569" i="119"/>
  <c r="AE569" i="119"/>
  <c r="Z569" i="119"/>
  <c r="AO568" i="119"/>
  <c r="AN568" i="119"/>
  <c r="AM568" i="119"/>
  <c r="AG568" i="119"/>
  <c r="AE568" i="119"/>
  <c r="Z568" i="119"/>
  <c r="AO567" i="119"/>
  <c r="AN567" i="119"/>
  <c r="AM567" i="119"/>
  <c r="AG567" i="119"/>
  <c r="AE567" i="119"/>
  <c r="Z567" i="119"/>
  <c r="AO566" i="119"/>
  <c r="AN566" i="119"/>
  <c r="AM566" i="119"/>
  <c r="AG566" i="119"/>
  <c r="AE566" i="119"/>
  <c r="Z566" i="119"/>
  <c r="AO565" i="119"/>
  <c r="AN565" i="119"/>
  <c r="AM565" i="119"/>
  <c r="AG565" i="119"/>
  <c r="AE565" i="119"/>
  <c r="Z565" i="119"/>
  <c r="AO564" i="119"/>
  <c r="AN564" i="119"/>
  <c r="AM564" i="119"/>
  <c r="AG564" i="119"/>
  <c r="AE564" i="119"/>
  <c r="Z564" i="119"/>
  <c r="AO563" i="119"/>
  <c r="AN563" i="119"/>
  <c r="AM563" i="119"/>
  <c r="AG563" i="119"/>
  <c r="AE563" i="119"/>
  <c r="Z563" i="119"/>
  <c r="AO562" i="119"/>
  <c r="AN562" i="119"/>
  <c r="AM562" i="119"/>
  <c r="AG562" i="119"/>
  <c r="AE562" i="119"/>
  <c r="Z562" i="119"/>
  <c r="AO561" i="119"/>
  <c r="AN561" i="119"/>
  <c r="AM561" i="119"/>
  <c r="AG561" i="119"/>
  <c r="AE561" i="119"/>
  <c r="Z561" i="119"/>
  <c r="AO560" i="119"/>
  <c r="AN560" i="119"/>
  <c r="AM560" i="119"/>
  <c r="AG560" i="119"/>
  <c r="AE560" i="119"/>
  <c r="Z560" i="119"/>
  <c r="AO559" i="119"/>
  <c r="AN559" i="119"/>
  <c r="AM559" i="119"/>
  <c r="AG559" i="119"/>
  <c r="AE559" i="119"/>
  <c r="Z559" i="119"/>
  <c r="AO558" i="119"/>
  <c r="AN558" i="119"/>
  <c r="AM558" i="119"/>
  <c r="AG558" i="119"/>
  <c r="AE558" i="119"/>
  <c r="Z558" i="119"/>
  <c r="AO557" i="119"/>
  <c r="AN557" i="119"/>
  <c r="AM557" i="119"/>
  <c r="AG557" i="119"/>
  <c r="AE557" i="119"/>
  <c r="Z557" i="119"/>
  <c r="AO556" i="119"/>
  <c r="AN556" i="119"/>
  <c r="AM556" i="119"/>
  <c r="AG556" i="119"/>
  <c r="AE556" i="119"/>
  <c r="Z556" i="119"/>
  <c r="AO555" i="119"/>
  <c r="AN555" i="119"/>
  <c r="AM555" i="119"/>
  <c r="AG555" i="119"/>
  <c r="AE555" i="119"/>
  <c r="Z555" i="119"/>
  <c r="AO554" i="119"/>
  <c r="AN554" i="119"/>
  <c r="AM554" i="119"/>
  <c r="AG554" i="119"/>
  <c r="AE554" i="119"/>
  <c r="Z554" i="119"/>
  <c r="AO553" i="119"/>
  <c r="AN553" i="119"/>
  <c r="AM553" i="119"/>
  <c r="AG553" i="119"/>
  <c r="AE553" i="119"/>
  <c r="Z553" i="119"/>
  <c r="AO552" i="119"/>
  <c r="AN552" i="119"/>
  <c r="AM552" i="119"/>
  <c r="AG552" i="119"/>
  <c r="AE552" i="119"/>
  <c r="Z552" i="119"/>
  <c r="AO551" i="119"/>
  <c r="AN551" i="119"/>
  <c r="AM551" i="119"/>
  <c r="AG551" i="119"/>
  <c r="AE551" i="119"/>
  <c r="Z551" i="119"/>
  <c r="AO550" i="119"/>
  <c r="AN550" i="119"/>
  <c r="AM550" i="119"/>
  <c r="AG550" i="119"/>
  <c r="AE550" i="119"/>
  <c r="Z550" i="119"/>
  <c r="AO549" i="119"/>
  <c r="AN549" i="119"/>
  <c r="AM549" i="119"/>
  <c r="AG549" i="119"/>
  <c r="AE549" i="119"/>
  <c r="Z549" i="119"/>
  <c r="AO548" i="119"/>
  <c r="AN548" i="119"/>
  <c r="AM548" i="119"/>
  <c r="AG548" i="119"/>
  <c r="AE548" i="119"/>
  <c r="Z548" i="119"/>
  <c r="AO547" i="119"/>
  <c r="AN547" i="119"/>
  <c r="AM547" i="119"/>
  <c r="AG547" i="119"/>
  <c r="AE547" i="119"/>
  <c r="Z547" i="119"/>
  <c r="AO546" i="119"/>
  <c r="AN546" i="119"/>
  <c r="AM546" i="119"/>
  <c r="AG546" i="119"/>
  <c r="AE546" i="119"/>
  <c r="Z546" i="119"/>
  <c r="AO545" i="119"/>
  <c r="AN545" i="119"/>
  <c r="AM545" i="119"/>
  <c r="AG545" i="119"/>
  <c r="AE545" i="119"/>
  <c r="Z545" i="119"/>
  <c r="AO544" i="119"/>
  <c r="AN544" i="119"/>
  <c r="AM544" i="119"/>
  <c r="AG544" i="119"/>
  <c r="AE544" i="119"/>
  <c r="Z544" i="119"/>
  <c r="AO543" i="119"/>
  <c r="AN543" i="119"/>
  <c r="AM543" i="119"/>
  <c r="AG543" i="119"/>
  <c r="AE543" i="119"/>
  <c r="Z543" i="119"/>
  <c r="AO542" i="119"/>
  <c r="AN542" i="119"/>
  <c r="AM542" i="119"/>
  <c r="AG542" i="119"/>
  <c r="AE542" i="119"/>
  <c r="Z542" i="119"/>
  <c r="AO541" i="119"/>
  <c r="AN541" i="119"/>
  <c r="AM541" i="119"/>
  <c r="AG541" i="119"/>
  <c r="AE541" i="119"/>
  <c r="Z541" i="119"/>
  <c r="AO540" i="119"/>
  <c r="AN540" i="119"/>
  <c r="AM540" i="119"/>
  <c r="AG540" i="119"/>
  <c r="AE540" i="119"/>
  <c r="Z540" i="119"/>
  <c r="AO539" i="119"/>
  <c r="AN539" i="119"/>
  <c r="AM539" i="119"/>
  <c r="AG539" i="119"/>
  <c r="AE539" i="119"/>
  <c r="Z539" i="119"/>
  <c r="AO538" i="119"/>
  <c r="AN538" i="119"/>
  <c r="AM538" i="119"/>
  <c r="AG538" i="119"/>
  <c r="AE538" i="119"/>
  <c r="Z538" i="119"/>
  <c r="AO537" i="119"/>
  <c r="AN537" i="119"/>
  <c r="AM537" i="119"/>
  <c r="AG537" i="119"/>
  <c r="AE537" i="119"/>
  <c r="Z537" i="119"/>
  <c r="AO536" i="119"/>
  <c r="AN536" i="119"/>
  <c r="AM536" i="119"/>
  <c r="AG536" i="119"/>
  <c r="AE536" i="119"/>
  <c r="Z536" i="119"/>
  <c r="AO535" i="119"/>
  <c r="AN535" i="119"/>
  <c r="AM535" i="119"/>
  <c r="AG535" i="119"/>
  <c r="AE535" i="119"/>
  <c r="Z535" i="119"/>
  <c r="AO534" i="119"/>
  <c r="AN534" i="119"/>
  <c r="AM534" i="119"/>
  <c r="AG534" i="119"/>
  <c r="AE534" i="119"/>
  <c r="Z534" i="119"/>
  <c r="AO533" i="119"/>
  <c r="AN533" i="119"/>
  <c r="AM533" i="119"/>
  <c r="AG533" i="119"/>
  <c r="AE533" i="119"/>
  <c r="Z533" i="119"/>
  <c r="AO532" i="119"/>
  <c r="AN532" i="119"/>
  <c r="AM532" i="119"/>
  <c r="AG532" i="119"/>
  <c r="AE532" i="119"/>
  <c r="Z532" i="119"/>
  <c r="AO531" i="119"/>
  <c r="AN531" i="119"/>
  <c r="AM531" i="119"/>
  <c r="AG531" i="119"/>
  <c r="AE531" i="119"/>
  <c r="Z531" i="119"/>
  <c r="AO530" i="119"/>
  <c r="AN530" i="119"/>
  <c r="AM530" i="119"/>
  <c r="AG530" i="119"/>
  <c r="AE530" i="119"/>
  <c r="Z530" i="119"/>
  <c r="AO529" i="119"/>
  <c r="AN529" i="119"/>
  <c r="AM529" i="119"/>
  <c r="AG529" i="119"/>
  <c r="AE529" i="119"/>
  <c r="Z529" i="119"/>
  <c r="AO528" i="119"/>
  <c r="AN528" i="119"/>
  <c r="AM528" i="119"/>
  <c r="AG528" i="119"/>
  <c r="AE528" i="119"/>
  <c r="Z528" i="119"/>
  <c r="AO527" i="119"/>
  <c r="AN527" i="119"/>
  <c r="AM527" i="119"/>
  <c r="AG527" i="119"/>
  <c r="AE527" i="119"/>
  <c r="Z527" i="119"/>
  <c r="AO526" i="119"/>
  <c r="AN526" i="119"/>
  <c r="AM526" i="119"/>
  <c r="AG526" i="119"/>
  <c r="AE526" i="119"/>
  <c r="Z526" i="119"/>
  <c r="AO525" i="119"/>
  <c r="AN525" i="119"/>
  <c r="AM525" i="119"/>
  <c r="AG525" i="119"/>
  <c r="AE525" i="119"/>
  <c r="Z525" i="119"/>
  <c r="AO524" i="119"/>
  <c r="AN524" i="119"/>
  <c r="AM524" i="119"/>
  <c r="AG524" i="119"/>
  <c r="AE524" i="119"/>
  <c r="Z524" i="119"/>
  <c r="AO523" i="119"/>
  <c r="AN523" i="119"/>
  <c r="AM523" i="119"/>
  <c r="AG523" i="119"/>
  <c r="AE523" i="119"/>
  <c r="Z523" i="119"/>
  <c r="AO522" i="119"/>
  <c r="AN522" i="119"/>
  <c r="AM522" i="119"/>
  <c r="AG522" i="119"/>
  <c r="AE522" i="119"/>
  <c r="Z522" i="119"/>
  <c r="AO521" i="119"/>
  <c r="AN521" i="119"/>
  <c r="AM521" i="119"/>
  <c r="AG521" i="119"/>
  <c r="AE521" i="119"/>
  <c r="Z521" i="119"/>
  <c r="AO520" i="119"/>
  <c r="AN520" i="119"/>
  <c r="AM520" i="119"/>
  <c r="AG520" i="119"/>
  <c r="AE520" i="119"/>
  <c r="Z520" i="119"/>
  <c r="AO519" i="119"/>
  <c r="AN519" i="119"/>
  <c r="AM519" i="119"/>
  <c r="AG519" i="119"/>
  <c r="AE519" i="119"/>
  <c r="Z519" i="119"/>
  <c r="AO518" i="119"/>
  <c r="AN518" i="119"/>
  <c r="AM518" i="119"/>
  <c r="AG518" i="119"/>
  <c r="AE518" i="119"/>
  <c r="Z518" i="119"/>
  <c r="AO517" i="119"/>
  <c r="AN517" i="119"/>
  <c r="AM517" i="119"/>
  <c r="AG517" i="119"/>
  <c r="AE517" i="119"/>
  <c r="Z517" i="119"/>
  <c r="AO516" i="119"/>
  <c r="AN516" i="119"/>
  <c r="AM516" i="119"/>
  <c r="AG516" i="119"/>
  <c r="AE516" i="119"/>
  <c r="Z516" i="119"/>
  <c r="AO515" i="119"/>
  <c r="AN515" i="119"/>
  <c r="AM515" i="119"/>
  <c r="AG515" i="119"/>
  <c r="AE515" i="119"/>
  <c r="Z515" i="119"/>
  <c r="AO514" i="119"/>
  <c r="AN514" i="119"/>
  <c r="AM514" i="119"/>
  <c r="AG514" i="119"/>
  <c r="AE514" i="119"/>
  <c r="Z514" i="119"/>
  <c r="AO513" i="119"/>
  <c r="AN513" i="119"/>
  <c r="AM513" i="119"/>
  <c r="AG513" i="119"/>
  <c r="AE513" i="119"/>
  <c r="Z513" i="119"/>
  <c r="AO512" i="119"/>
  <c r="AN512" i="119"/>
  <c r="AM512" i="119"/>
  <c r="AG512" i="119"/>
  <c r="AE512" i="119"/>
  <c r="Z512" i="119"/>
  <c r="AO511" i="119"/>
  <c r="AN511" i="119"/>
  <c r="AM511" i="119"/>
  <c r="AG511" i="119"/>
  <c r="AE511" i="119"/>
  <c r="Z511" i="119"/>
  <c r="AO510" i="119"/>
  <c r="AN510" i="119"/>
  <c r="AM510" i="119"/>
  <c r="AG510" i="119"/>
  <c r="AE510" i="119"/>
  <c r="Z510" i="119"/>
  <c r="AO509" i="119"/>
  <c r="AN509" i="119"/>
  <c r="AM509" i="119"/>
  <c r="AG509" i="119"/>
  <c r="AE509" i="119"/>
  <c r="Z509" i="119"/>
  <c r="AO508" i="119"/>
  <c r="AN508" i="119"/>
  <c r="AM508" i="119"/>
  <c r="AG508" i="119"/>
  <c r="AE508" i="119"/>
  <c r="Z508" i="119"/>
  <c r="AO507" i="119"/>
  <c r="AN507" i="119"/>
  <c r="AM507" i="119"/>
  <c r="AG507" i="119"/>
  <c r="AE507" i="119"/>
  <c r="Z507" i="119"/>
  <c r="AO506" i="119"/>
  <c r="AN506" i="119"/>
  <c r="AM506" i="119"/>
  <c r="AG506" i="119"/>
  <c r="AE506" i="119"/>
  <c r="Z506" i="119"/>
  <c r="AO505" i="119"/>
  <c r="AN505" i="119"/>
  <c r="AM505" i="119"/>
  <c r="AG505" i="119"/>
  <c r="AE505" i="119"/>
  <c r="Z505" i="119"/>
  <c r="AO504" i="119"/>
  <c r="AN504" i="119"/>
  <c r="AM504" i="119"/>
  <c r="AG504" i="119"/>
  <c r="AE504" i="119"/>
  <c r="Z504" i="119"/>
  <c r="AO503" i="119"/>
  <c r="AN503" i="119"/>
  <c r="AM503" i="119"/>
  <c r="AG503" i="119"/>
  <c r="AE503" i="119"/>
  <c r="Z503" i="119"/>
  <c r="AO502" i="119"/>
  <c r="AN502" i="119"/>
  <c r="AM502" i="119"/>
  <c r="AG502" i="119"/>
  <c r="AE502" i="119"/>
  <c r="Z502" i="119"/>
  <c r="AO501" i="119"/>
  <c r="AN501" i="119"/>
  <c r="AM501" i="119"/>
  <c r="AG501" i="119"/>
  <c r="AE501" i="119"/>
  <c r="Z501" i="119"/>
  <c r="AO500" i="119"/>
  <c r="AN500" i="119"/>
  <c r="AM500" i="119"/>
  <c r="AG500" i="119"/>
  <c r="AE500" i="119"/>
  <c r="Z500" i="119"/>
  <c r="AO499" i="119"/>
  <c r="AN499" i="119"/>
  <c r="AM499" i="119"/>
  <c r="AG499" i="119"/>
  <c r="AE499" i="119"/>
  <c r="Z499" i="119"/>
  <c r="AO498" i="119"/>
  <c r="AN498" i="119"/>
  <c r="AM498" i="119"/>
  <c r="AG498" i="119"/>
  <c r="AE498" i="119"/>
  <c r="Z498" i="119"/>
  <c r="AO497" i="119"/>
  <c r="AN497" i="119"/>
  <c r="AM497" i="119"/>
  <c r="AG497" i="119"/>
  <c r="AE497" i="119"/>
  <c r="Z497" i="119"/>
  <c r="AO496" i="119"/>
  <c r="AN496" i="119"/>
  <c r="AM496" i="119"/>
  <c r="AG496" i="119"/>
  <c r="AE496" i="119"/>
  <c r="Z496" i="119"/>
  <c r="AO495" i="119"/>
  <c r="AN495" i="119"/>
  <c r="AM495" i="119"/>
  <c r="AG495" i="119"/>
  <c r="AE495" i="119"/>
  <c r="Z495" i="119"/>
  <c r="AO494" i="119"/>
  <c r="AN494" i="119"/>
  <c r="AM494" i="119"/>
  <c r="AG494" i="119"/>
  <c r="AE494" i="119"/>
  <c r="Z494" i="119"/>
  <c r="AO493" i="119"/>
  <c r="AN493" i="119"/>
  <c r="AM493" i="119"/>
  <c r="AG493" i="119"/>
  <c r="AE493" i="119"/>
  <c r="Z493" i="119"/>
  <c r="AO492" i="119"/>
  <c r="AN492" i="119"/>
  <c r="AM492" i="119"/>
  <c r="AG492" i="119"/>
  <c r="AE492" i="119"/>
  <c r="Z492" i="119"/>
  <c r="AO491" i="119"/>
  <c r="AN491" i="119"/>
  <c r="AM491" i="119"/>
  <c r="AG491" i="119"/>
  <c r="AE491" i="119"/>
  <c r="Z491" i="119"/>
  <c r="AO490" i="119"/>
  <c r="AN490" i="119"/>
  <c r="AM490" i="119"/>
  <c r="AG490" i="119"/>
  <c r="AE490" i="119"/>
  <c r="Z490" i="119"/>
  <c r="AO489" i="119"/>
  <c r="AN489" i="119"/>
  <c r="AM489" i="119"/>
  <c r="AG489" i="119"/>
  <c r="AE489" i="119"/>
  <c r="Z489" i="119"/>
  <c r="AO488" i="119"/>
  <c r="AN488" i="119"/>
  <c r="AM488" i="119"/>
  <c r="AG488" i="119"/>
  <c r="AE488" i="119"/>
  <c r="Z488" i="119"/>
  <c r="AO487" i="119"/>
  <c r="AN487" i="119"/>
  <c r="AM487" i="119"/>
  <c r="AG487" i="119"/>
  <c r="AE487" i="119"/>
  <c r="Z487" i="119"/>
  <c r="AO486" i="119"/>
  <c r="AN486" i="119"/>
  <c r="AM486" i="119"/>
  <c r="AG486" i="119"/>
  <c r="AE486" i="119"/>
  <c r="Z486" i="119"/>
  <c r="AO485" i="119"/>
  <c r="AN485" i="119"/>
  <c r="AM485" i="119"/>
  <c r="AG485" i="119"/>
  <c r="AE485" i="119"/>
  <c r="Z485" i="119"/>
  <c r="AO484" i="119"/>
  <c r="AN484" i="119"/>
  <c r="AM484" i="119"/>
  <c r="AG484" i="119"/>
  <c r="AE484" i="119"/>
  <c r="Z484" i="119"/>
  <c r="AO483" i="119"/>
  <c r="AN483" i="119"/>
  <c r="AM483" i="119"/>
  <c r="AG483" i="119"/>
  <c r="AE483" i="119"/>
  <c r="Z483" i="119"/>
  <c r="AO482" i="119"/>
  <c r="AN482" i="119"/>
  <c r="AM482" i="119"/>
  <c r="AG482" i="119"/>
  <c r="AE482" i="119"/>
  <c r="Z482" i="119"/>
  <c r="AO481" i="119"/>
  <c r="AN481" i="119"/>
  <c r="AM481" i="119"/>
  <c r="AG481" i="119"/>
  <c r="AE481" i="119"/>
  <c r="Z481" i="119"/>
  <c r="AO480" i="119"/>
  <c r="AN480" i="119"/>
  <c r="AM480" i="119"/>
  <c r="AG480" i="119"/>
  <c r="AE480" i="119"/>
  <c r="Z480" i="119"/>
  <c r="AO479" i="119"/>
  <c r="AN479" i="119"/>
  <c r="AM479" i="119"/>
  <c r="AG479" i="119"/>
  <c r="AE479" i="119"/>
  <c r="Z479" i="119"/>
  <c r="AO478" i="119"/>
  <c r="AN478" i="119"/>
  <c r="AM478" i="119"/>
  <c r="AG478" i="119"/>
  <c r="AE478" i="119"/>
  <c r="Z478" i="119"/>
  <c r="AO477" i="119"/>
  <c r="AN477" i="119"/>
  <c r="AM477" i="119"/>
  <c r="AG477" i="119"/>
  <c r="AE477" i="119"/>
  <c r="Z477" i="119"/>
  <c r="AO476" i="119"/>
  <c r="AN476" i="119"/>
  <c r="AM476" i="119"/>
  <c r="AG476" i="119"/>
  <c r="AE476" i="119"/>
  <c r="Z476" i="119"/>
  <c r="AO475" i="119"/>
  <c r="AN475" i="119"/>
  <c r="AM475" i="119"/>
  <c r="AG475" i="119"/>
  <c r="AE475" i="119"/>
  <c r="Z475" i="119"/>
  <c r="AO474" i="119"/>
  <c r="AN474" i="119"/>
  <c r="AM474" i="119"/>
  <c r="AG474" i="119"/>
  <c r="AE474" i="119"/>
  <c r="Z474" i="119"/>
  <c r="AO473" i="119"/>
  <c r="AN473" i="119"/>
  <c r="AM473" i="119"/>
  <c r="AG473" i="119"/>
  <c r="AE473" i="119"/>
  <c r="Z473" i="119"/>
  <c r="AO472" i="119"/>
  <c r="AN472" i="119"/>
  <c r="AM472" i="119"/>
  <c r="AG472" i="119"/>
  <c r="AE472" i="119"/>
  <c r="Z472" i="119"/>
  <c r="AO471" i="119"/>
  <c r="AN471" i="119"/>
  <c r="AM471" i="119"/>
  <c r="AG471" i="119"/>
  <c r="AE471" i="119"/>
  <c r="Z471" i="119"/>
  <c r="AO470" i="119"/>
  <c r="AN470" i="119"/>
  <c r="AM470" i="119"/>
  <c r="AG470" i="119"/>
  <c r="AE470" i="119"/>
  <c r="Z470" i="119"/>
  <c r="AO469" i="119"/>
  <c r="AN469" i="119"/>
  <c r="AM469" i="119"/>
  <c r="AG469" i="119"/>
  <c r="AE469" i="119"/>
  <c r="Z469" i="119"/>
  <c r="AO468" i="119"/>
  <c r="AN468" i="119"/>
  <c r="AM468" i="119"/>
  <c r="AG468" i="119"/>
  <c r="AE468" i="119"/>
  <c r="Z468" i="119"/>
  <c r="AO467" i="119"/>
  <c r="AN467" i="119"/>
  <c r="AM467" i="119"/>
  <c r="AG467" i="119"/>
  <c r="AE467" i="119"/>
  <c r="Z467" i="119"/>
  <c r="AO466" i="119"/>
  <c r="AN466" i="119"/>
  <c r="AM466" i="119"/>
  <c r="AG466" i="119"/>
  <c r="AE466" i="119"/>
  <c r="Z466" i="119"/>
  <c r="AO465" i="119"/>
  <c r="AN465" i="119"/>
  <c r="AM465" i="119"/>
  <c r="AG465" i="119"/>
  <c r="AE465" i="119"/>
  <c r="Z465" i="119"/>
  <c r="AO464" i="119"/>
  <c r="AN464" i="119"/>
  <c r="AM464" i="119"/>
  <c r="AG464" i="119"/>
  <c r="AE464" i="119"/>
  <c r="Z464" i="119"/>
  <c r="AO463" i="119"/>
  <c r="AN463" i="119"/>
  <c r="AM463" i="119"/>
  <c r="AG463" i="119"/>
  <c r="AE463" i="119"/>
  <c r="Z463" i="119"/>
  <c r="AO462" i="119"/>
  <c r="AN462" i="119"/>
  <c r="AM462" i="119"/>
  <c r="AG462" i="119"/>
  <c r="AE462" i="119"/>
  <c r="Z462" i="119"/>
  <c r="AO461" i="119"/>
  <c r="AN461" i="119"/>
  <c r="AM461" i="119"/>
  <c r="AG461" i="119"/>
  <c r="AE461" i="119"/>
  <c r="Z461" i="119"/>
  <c r="AO460" i="119"/>
  <c r="AN460" i="119"/>
  <c r="AM460" i="119"/>
  <c r="AG460" i="119"/>
  <c r="AE460" i="119"/>
  <c r="Z460" i="119"/>
  <c r="AO459" i="119"/>
  <c r="AN459" i="119"/>
  <c r="AM459" i="119"/>
  <c r="AG459" i="119"/>
  <c r="AE459" i="119"/>
  <c r="Z459" i="119"/>
  <c r="AO458" i="119"/>
  <c r="AN458" i="119"/>
  <c r="AM458" i="119"/>
  <c r="AG458" i="119"/>
  <c r="AE458" i="119"/>
  <c r="Z458" i="119"/>
  <c r="AO457" i="119"/>
  <c r="AN457" i="119"/>
  <c r="AM457" i="119"/>
  <c r="AG457" i="119"/>
  <c r="AE457" i="119"/>
  <c r="Z457" i="119"/>
  <c r="AO456" i="119"/>
  <c r="AN456" i="119"/>
  <c r="AM456" i="119"/>
  <c r="AG456" i="119"/>
  <c r="AE456" i="119"/>
  <c r="Z456" i="119"/>
  <c r="AO455" i="119"/>
  <c r="AN455" i="119"/>
  <c r="AM455" i="119"/>
  <c r="AG455" i="119"/>
  <c r="AE455" i="119"/>
  <c r="Z455" i="119"/>
  <c r="AO454" i="119"/>
  <c r="AN454" i="119"/>
  <c r="AM454" i="119"/>
  <c r="AG454" i="119"/>
  <c r="AE454" i="119"/>
  <c r="Z454" i="119"/>
  <c r="AO453" i="119"/>
  <c r="AN453" i="119"/>
  <c r="AM453" i="119"/>
  <c r="AG453" i="119"/>
  <c r="AE453" i="119"/>
  <c r="Z453" i="119"/>
  <c r="AO452" i="119"/>
  <c r="AN452" i="119"/>
  <c r="AM452" i="119"/>
  <c r="AG452" i="119"/>
  <c r="AE452" i="119"/>
  <c r="Z452" i="119"/>
  <c r="AO451" i="119"/>
  <c r="AN451" i="119"/>
  <c r="AM451" i="119"/>
  <c r="AG451" i="119"/>
  <c r="AE451" i="119"/>
  <c r="Z451" i="119"/>
  <c r="AO450" i="119"/>
  <c r="AN450" i="119"/>
  <c r="AM450" i="119"/>
  <c r="AG450" i="119"/>
  <c r="AE450" i="119"/>
  <c r="Z450" i="119"/>
  <c r="AO449" i="119"/>
  <c r="AN449" i="119"/>
  <c r="AM449" i="119"/>
  <c r="AG449" i="119"/>
  <c r="AE449" i="119"/>
  <c r="Z449" i="119"/>
  <c r="AO448" i="119"/>
  <c r="AN448" i="119"/>
  <c r="AM448" i="119"/>
  <c r="AG448" i="119"/>
  <c r="AE448" i="119"/>
  <c r="Z448" i="119"/>
  <c r="AO447" i="119"/>
  <c r="AN447" i="119"/>
  <c r="AM447" i="119"/>
  <c r="AG447" i="119"/>
  <c r="AE447" i="119"/>
  <c r="Z447" i="119"/>
  <c r="AO446" i="119"/>
  <c r="AN446" i="119"/>
  <c r="AM446" i="119"/>
  <c r="AG446" i="119"/>
  <c r="AE446" i="119"/>
  <c r="Z446" i="119"/>
  <c r="AO445" i="119"/>
  <c r="AN445" i="119"/>
  <c r="AM445" i="119"/>
  <c r="AG445" i="119"/>
  <c r="AE445" i="119"/>
  <c r="Z445" i="119"/>
  <c r="AO444" i="119"/>
  <c r="AN444" i="119"/>
  <c r="AM444" i="119"/>
  <c r="AG444" i="119"/>
  <c r="AE444" i="119"/>
  <c r="Z444" i="119"/>
  <c r="AO443" i="119"/>
  <c r="AN443" i="119"/>
  <c r="AM443" i="119"/>
  <c r="AG443" i="119"/>
  <c r="AE443" i="119"/>
  <c r="Z443" i="119"/>
  <c r="AO442" i="119"/>
  <c r="AN442" i="119"/>
  <c r="AM442" i="119"/>
  <c r="AG442" i="119"/>
  <c r="AE442" i="119"/>
  <c r="Z442" i="119"/>
  <c r="AO441" i="119"/>
  <c r="AN441" i="119"/>
  <c r="AM441" i="119"/>
  <c r="AG441" i="119"/>
  <c r="AE441" i="119"/>
  <c r="Z441" i="119"/>
  <c r="AO440" i="119"/>
  <c r="AN440" i="119"/>
  <c r="AM440" i="119"/>
  <c r="AG440" i="119"/>
  <c r="AE440" i="119"/>
  <c r="Z440" i="119"/>
  <c r="AO439" i="119"/>
  <c r="AN439" i="119"/>
  <c r="AM439" i="119"/>
  <c r="AG439" i="119"/>
  <c r="AE439" i="119"/>
  <c r="Z439" i="119"/>
  <c r="AO438" i="119"/>
  <c r="AN438" i="119"/>
  <c r="AM438" i="119"/>
  <c r="AG438" i="119"/>
  <c r="AE438" i="119"/>
  <c r="Z438" i="119"/>
  <c r="AO437" i="119"/>
  <c r="AN437" i="119"/>
  <c r="AM437" i="119"/>
  <c r="AG437" i="119"/>
  <c r="AE437" i="119"/>
  <c r="Z437" i="119"/>
  <c r="AO436" i="119"/>
  <c r="AN436" i="119"/>
  <c r="AM436" i="119"/>
  <c r="AG436" i="119"/>
  <c r="AE436" i="119"/>
  <c r="Z436" i="119"/>
  <c r="AO435" i="119"/>
  <c r="AN435" i="119"/>
  <c r="AM435" i="119"/>
  <c r="AG435" i="119"/>
  <c r="AE435" i="119"/>
  <c r="Z435" i="119"/>
  <c r="AO434" i="119"/>
  <c r="AN434" i="119"/>
  <c r="AM434" i="119"/>
  <c r="AG434" i="119"/>
  <c r="AE434" i="119"/>
  <c r="Z434" i="119"/>
  <c r="AO433" i="119"/>
  <c r="AN433" i="119"/>
  <c r="AM433" i="119"/>
  <c r="AG433" i="119"/>
  <c r="AE433" i="119"/>
  <c r="Z433" i="119"/>
  <c r="AO432" i="119"/>
  <c r="AN432" i="119"/>
  <c r="AM432" i="119"/>
  <c r="AG432" i="119"/>
  <c r="AE432" i="119"/>
  <c r="Z432" i="119"/>
  <c r="AO431" i="119"/>
  <c r="AN431" i="119"/>
  <c r="AM431" i="119"/>
  <c r="AG431" i="119"/>
  <c r="AE431" i="119"/>
  <c r="Z431" i="119"/>
  <c r="AO430" i="119"/>
  <c r="AN430" i="119"/>
  <c r="AM430" i="119"/>
  <c r="AG430" i="119"/>
  <c r="AE430" i="119"/>
  <c r="Z430" i="119"/>
  <c r="AO429" i="119"/>
  <c r="AN429" i="119"/>
  <c r="AM429" i="119"/>
  <c r="AG429" i="119"/>
  <c r="AE429" i="119"/>
  <c r="Z429" i="119"/>
  <c r="AO428" i="119"/>
  <c r="AN428" i="119"/>
  <c r="AM428" i="119"/>
  <c r="AG428" i="119"/>
  <c r="AE428" i="119"/>
  <c r="Z428" i="119"/>
  <c r="AO427" i="119"/>
  <c r="AN427" i="119"/>
  <c r="AM427" i="119"/>
  <c r="AG427" i="119"/>
  <c r="AE427" i="119"/>
  <c r="Z427" i="119"/>
  <c r="AO426" i="119"/>
  <c r="AN426" i="119"/>
  <c r="AM426" i="119"/>
  <c r="AG426" i="119"/>
  <c r="AE426" i="119"/>
  <c r="Z426" i="119"/>
  <c r="AO425" i="119"/>
  <c r="AN425" i="119"/>
  <c r="AM425" i="119"/>
  <c r="AG425" i="119"/>
  <c r="AE425" i="119"/>
  <c r="Z425" i="119"/>
  <c r="AO424" i="119"/>
  <c r="AN424" i="119"/>
  <c r="AM424" i="119"/>
  <c r="AG424" i="119"/>
  <c r="AE424" i="119"/>
  <c r="Z424" i="119"/>
  <c r="AO423" i="119"/>
  <c r="AN423" i="119"/>
  <c r="AM423" i="119"/>
  <c r="AG423" i="119"/>
  <c r="AE423" i="119"/>
  <c r="Z423" i="119"/>
  <c r="AO422" i="119"/>
  <c r="AN422" i="119"/>
  <c r="AM422" i="119"/>
  <c r="AG422" i="119"/>
  <c r="AE422" i="119"/>
  <c r="Z422" i="119"/>
  <c r="AO421" i="119"/>
  <c r="AN421" i="119"/>
  <c r="AM421" i="119"/>
  <c r="AG421" i="119"/>
  <c r="AE421" i="119"/>
  <c r="Z421" i="119"/>
  <c r="AO420" i="119"/>
  <c r="AN420" i="119"/>
  <c r="AM420" i="119"/>
  <c r="AG420" i="119"/>
  <c r="AE420" i="119"/>
  <c r="Z420" i="119"/>
  <c r="AO419" i="119"/>
  <c r="AN419" i="119"/>
  <c r="AM419" i="119"/>
  <c r="AG419" i="119"/>
  <c r="AE419" i="119"/>
  <c r="Z419" i="119"/>
  <c r="AO418" i="119"/>
  <c r="AN418" i="119"/>
  <c r="AM418" i="119"/>
  <c r="AG418" i="119"/>
  <c r="AE418" i="119"/>
  <c r="Z418" i="119"/>
  <c r="AO417" i="119"/>
  <c r="AN417" i="119"/>
  <c r="AM417" i="119"/>
  <c r="AG417" i="119"/>
  <c r="AE417" i="119"/>
  <c r="Z417" i="119"/>
  <c r="AO416" i="119"/>
  <c r="AN416" i="119"/>
  <c r="AM416" i="119"/>
  <c r="AG416" i="119"/>
  <c r="AE416" i="119"/>
  <c r="Z416" i="119"/>
  <c r="AO415" i="119"/>
  <c r="AN415" i="119"/>
  <c r="AM415" i="119"/>
  <c r="AG415" i="119"/>
  <c r="AE415" i="119"/>
  <c r="Z415" i="119"/>
  <c r="AO414" i="119"/>
  <c r="AN414" i="119"/>
  <c r="AM414" i="119"/>
  <c r="AG414" i="119"/>
  <c r="AE414" i="119"/>
  <c r="Z414" i="119"/>
  <c r="AO413" i="119"/>
  <c r="AN413" i="119"/>
  <c r="AM413" i="119"/>
  <c r="AG413" i="119"/>
  <c r="AE413" i="119"/>
  <c r="Z413" i="119"/>
  <c r="AO412" i="119"/>
  <c r="AN412" i="119"/>
  <c r="AM412" i="119"/>
  <c r="AG412" i="119"/>
  <c r="AE412" i="119"/>
  <c r="Z412" i="119"/>
  <c r="AO411" i="119"/>
  <c r="AN411" i="119"/>
  <c r="AM411" i="119"/>
  <c r="AG411" i="119"/>
  <c r="AE411" i="119"/>
  <c r="Z411" i="119"/>
  <c r="AO410" i="119"/>
  <c r="AN410" i="119"/>
  <c r="AM410" i="119"/>
  <c r="AG410" i="119"/>
  <c r="AE410" i="119"/>
  <c r="Z410" i="119"/>
  <c r="AO409" i="119"/>
  <c r="AN409" i="119"/>
  <c r="AM409" i="119"/>
  <c r="AG409" i="119"/>
  <c r="AE409" i="119"/>
  <c r="Z409" i="119"/>
  <c r="AO408" i="119"/>
  <c r="AN408" i="119"/>
  <c r="AM408" i="119"/>
  <c r="AG408" i="119"/>
  <c r="AE408" i="119"/>
  <c r="Z408" i="119"/>
  <c r="AO407" i="119"/>
  <c r="AN407" i="119"/>
  <c r="AM407" i="119"/>
  <c r="AG407" i="119"/>
  <c r="AE407" i="119"/>
  <c r="Z407" i="119"/>
  <c r="AO406" i="119"/>
  <c r="AN406" i="119"/>
  <c r="AM406" i="119"/>
  <c r="AG406" i="119"/>
  <c r="AE406" i="119"/>
  <c r="Z406" i="119"/>
  <c r="AO405" i="119"/>
  <c r="AN405" i="119"/>
  <c r="AM405" i="119"/>
  <c r="AG405" i="119"/>
  <c r="AE405" i="119"/>
  <c r="Z405" i="119"/>
  <c r="AO404" i="119"/>
  <c r="AN404" i="119"/>
  <c r="AM404" i="119"/>
  <c r="AG404" i="119"/>
  <c r="AE404" i="119"/>
  <c r="Z404" i="119"/>
  <c r="AO403" i="119"/>
  <c r="AN403" i="119"/>
  <c r="AM403" i="119"/>
  <c r="AG403" i="119"/>
  <c r="AE403" i="119"/>
  <c r="Z403" i="119"/>
  <c r="AO402" i="119"/>
  <c r="AN402" i="119"/>
  <c r="AM402" i="119"/>
  <c r="AG402" i="119"/>
  <c r="AE402" i="119"/>
  <c r="Z402" i="119"/>
  <c r="AO401" i="119"/>
  <c r="AN401" i="119"/>
  <c r="AM401" i="119"/>
  <c r="AG401" i="119"/>
  <c r="AE401" i="119"/>
  <c r="Z401" i="119"/>
  <c r="AO400" i="119"/>
  <c r="AN400" i="119"/>
  <c r="AM400" i="119"/>
  <c r="AG400" i="119"/>
  <c r="AE400" i="119"/>
  <c r="Z400" i="119"/>
  <c r="AO399" i="119"/>
  <c r="AN399" i="119"/>
  <c r="AM399" i="119"/>
  <c r="AG399" i="119"/>
  <c r="AE399" i="119"/>
  <c r="Z399" i="119"/>
  <c r="AO398" i="119"/>
  <c r="AN398" i="119"/>
  <c r="AM398" i="119"/>
  <c r="AG398" i="119"/>
  <c r="AE398" i="119"/>
  <c r="Z398" i="119"/>
  <c r="AO397" i="119"/>
  <c r="AN397" i="119"/>
  <c r="AM397" i="119"/>
  <c r="AG397" i="119"/>
  <c r="AE397" i="119"/>
  <c r="Z397" i="119"/>
  <c r="AO396" i="119"/>
  <c r="AN396" i="119"/>
  <c r="AM396" i="119"/>
  <c r="AG396" i="119"/>
  <c r="AE396" i="119"/>
  <c r="Z396" i="119"/>
  <c r="AO395" i="119"/>
  <c r="AN395" i="119"/>
  <c r="AM395" i="119"/>
  <c r="AG395" i="119"/>
  <c r="AE395" i="119"/>
  <c r="Z395" i="119"/>
  <c r="AO394" i="119"/>
  <c r="AN394" i="119"/>
  <c r="AM394" i="119"/>
  <c r="AG394" i="119"/>
  <c r="AE394" i="119"/>
  <c r="Z394" i="119"/>
  <c r="AO393" i="119"/>
  <c r="AN393" i="119"/>
  <c r="AM393" i="119"/>
  <c r="AG393" i="119"/>
  <c r="AE393" i="119"/>
  <c r="Z393" i="119"/>
  <c r="AO392" i="119"/>
  <c r="AN392" i="119"/>
  <c r="AM392" i="119"/>
  <c r="AG392" i="119"/>
  <c r="AE392" i="119"/>
  <c r="Z392" i="119"/>
  <c r="AO391" i="119"/>
  <c r="AN391" i="119"/>
  <c r="AM391" i="119"/>
  <c r="AG391" i="119"/>
  <c r="AE391" i="119"/>
  <c r="Z391" i="119"/>
  <c r="AO390" i="119"/>
  <c r="AN390" i="119"/>
  <c r="AM390" i="119"/>
  <c r="AG390" i="119"/>
  <c r="AE390" i="119"/>
  <c r="Z390" i="119"/>
  <c r="AO389" i="119"/>
  <c r="AN389" i="119"/>
  <c r="AM389" i="119"/>
  <c r="AG389" i="119"/>
  <c r="AE389" i="119"/>
  <c r="Z389" i="119"/>
  <c r="AO388" i="119"/>
  <c r="AN388" i="119"/>
  <c r="AM388" i="119"/>
  <c r="AG388" i="119"/>
  <c r="AE388" i="119"/>
  <c r="Z388" i="119"/>
  <c r="AO387" i="119"/>
  <c r="AN387" i="119"/>
  <c r="AM387" i="119"/>
  <c r="AG387" i="119"/>
  <c r="AE387" i="119"/>
  <c r="Z387" i="119"/>
  <c r="AO386" i="119"/>
  <c r="AN386" i="119"/>
  <c r="AM386" i="119"/>
  <c r="AG386" i="119"/>
  <c r="AE386" i="119"/>
  <c r="Z386" i="119"/>
  <c r="AO385" i="119"/>
  <c r="AN385" i="119"/>
  <c r="AM385" i="119"/>
  <c r="AG385" i="119"/>
  <c r="AE385" i="119"/>
  <c r="Z385" i="119"/>
  <c r="AO384" i="119"/>
  <c r="AN384" i="119"/>
  <c r="AM384" i="119"/>
  <c r="AG384" i="119"/>
  <c r="AE384" i="119"/>
  <c r="Z384" i="119"/>
  <c r="AO383" i="119"/>
  <c r="AN383" i="119"/>
  <c r="AM383" i="119"/>
  <c r="AG383" i="119"/>
  <c r="AE383" i="119"/>
  <c r="Z383" i="119"/>
  <c r="AO382" i="119"/>
  <c r="AN382" i="119"/>
  <c r="AM382" i="119"/>
  <c r="AG382" i="119"/>
  <c r="AE382" i="119"/>
  <c r="Z382" i="119"/>
  <c r="AO381" i="119"/>
  <c r="AN381" i="119"/>
  <c r="AM381" i="119"/>
  <c r="AG381" i="119"/>
  <c r="AE381" i="119"/>
  <c r="Z381" i="119"/>
  <c r="AO380" i="119"/>
  <c r="AN380" i="119"/>
  <c r="AM380" i="119"/>
  <c r="AG380" i="119"/>
  <c r="AE380" i="119"/>
  <c r="Z380" i="119"/>
  <c r="AO379" i="119"/>
  <c r="AN379" i="119"/>
  <c r="AM379" i="119"/>
  <c r="AG379" i="119"/>
  <c r="AE379" i="119"/>
  <c r="Z379" i="119"/>
  <c r="AO378" i="119"/>
  <c r="AN378" i="119"/>
  <c r="AM378" i="119"/>
  <c r="AG378" i="119"/>
  <c r="AE378" i="119"/>
  <c r="Z378" i="119"/>
  <c r="AO377" i="119"/>
  <c r="AN377" i="119"/>
  <c r="AM377" i="119"/>
  <c r="AG377" i="119"/>
  <c r="AE377" i="119"/>
  <c r="Z377" i="119"/>
  <c r="AO376" i="119"/>
  <c r="AN376" i="119"/>
  <c r="AM376" i="119"/>
  <c r="AG376" i="119"/>
  <c r="AE376" i="119"/>
  <c r="Z376" i="119"/>
  <c r="AO375" i="119"/>
  <c r="AN375" i="119"/>
  <c r="AM375" i="119"/>
  <c r="AG375" i="119"/>
  <c r="AE375" i="119"/>
  <c r="Z375" i="119"/>
  <c r="AO374" i="119"/>
  <c r="AN374" i="119"/>
  <c r="AM374" i="119"/>
  <c r="AG374" i="119"/>
  <c r="AE374" i="119"/>
  <c r="Z374" i="119"/>
  <c r="AO373" i="119"/>
  <c r="AN373" i="119"/>
  <c r="AM373" i="119"/>
  <c r="AG373" i="119"/>
  <c r="AE373" i="119"/>
  <c r="Z373" i="119"/>
  <c r="AO372" i="119"/>
  <c r="AN372" i="119"/>
  <c r="AM372" i="119"/>
  <c r="AG372" i="119"/>
  <c r="AE372" i="119"/>
  <c r="Z372" i="119"/>
  <c r="AO371" i="119"/>
  <c r="AN371" i="119"/>
  <c r="AM371" i="119"/>
  <c r="AG371" i="119"/>
  <c r="AE371" i="119"/>
  <c r="Z371" i="119"/>
  <c r="AO370" i="119"/>
  <c r="AN370" i="119"/>
  <c r="AM370" i="119"/>
  <c r="AG370" i="119"/>
  <c r="AE370" i="119"/>
  <c r="Z370" i="119"/>
  <c r="AO369" i="119"/>
  <c r="AN369" i="119"/>
  <c r="AM369" i="119"/>
  <c r="AG369" i="119"/>
  <c r="AE369" i="119"/>
  <c r="Z369" i="119"/>
  <c r="AO368" i="119"/>
  <c r="AN368" i="119"/>
  <c r="AM368" i="119"/>
  <c r="AG368" i="119"/>
  <c r="AE368" i="119"/>
  <c r="Z368" i="119"/>
  <c r="AO367" i="119"/>
  <c r="AN367" i="119"/>
  <c r="AM367" i="119"/>
  <c r="AG367" i="119"/>
  <c r="AE367" i="119"/>
  <c r="Z367" i="119"/>
  <c r="AO366" i="119"/>
  <c r="AN366" i="119"/>
  <c r="AM366" i="119"/>
  <c r="AG366" i="119"/>
  <c r="AE366" i="119"/>
  <c r="Z366" i="119"/>
  <c r="AO365" i="119"/>
  <c r="AN365" i="119"/>
  <c r="AM365" i="119"/>
  <c r="AG365" i="119"/>
  <c r="AE365" i="119"/>
  <c r="Z365" i="119"/>
  <c r="AO364" i="119"/>
  <c r="AN364" i="119"/>
  <c r="AM364" i="119"/>
  <c r="AG364" i="119"/>
  <c r="AE364" i="119"/>
  <c r="Z364" i="119"/>
  <c r="AO363" i="119"/>
  <c r="AN363" i="119"/>
  <c r="AM363" i="119"/>
  <c r="AG363" i="119"/>
  <c r="AE363" i="119"/>
  <c r="Z363" i="119"/>
  <c r="AO362" i="119"/>
  <c r="AN362" i="119"/>
  <c r="AM362" i="119"/>
  <c r="AG362" i="119"/>
  <c r="AE362" i="119"/>
  <c r="Z362" i="119"/>
  <c r="AO361" i="119"/>
  <c r="AN361" i="119"/>
  <c r="AM361" i="119"/>
  <c r="AG361" i="119"/>
  <c r="AE361" i="119"/>
  <c r="Z361" i="119"/>
  <c r="AO360" i="119"/>
  <c r="AN360" i="119"/>
  <c r="AM360" i="119"/>
  <c r="AG360" i="119"/>
  <c r="AE360" i="119"/>
  <c r="Z360" i="119"/>
  <c r="AO359" i="119"/>
  <c r="AN359" i="119"/>
  <c r="AM359" i="119"/>
  <c r="AG359" i="119"/>
  <c r="AE359" i="119"/>
  <c r="Z359" i="119"/>
  <c r="AO358" i="119"/>
  <c r="AN358" i="119"/>
  <c r="AM358" i="119"/>
  <c r="AG358" i="119"/>
  <c r="AE358" i="119"/>
  <c r="Z358" i="119"/>
  <c r="AO357" i="119"/>
  <c r="AN357" i="119"/>
  <c r="AM357" i="119"/>
  <c r="AG357" i="119"/>
  <c r="AE357" i="119"/>
  <c r="Z357" i="119"/>
  <c r="AO356" i="119"/>
  <c r="AN356" i="119"/>
  <c r="AM356" i="119"/>
  <c r="AG356" i="119"/>
  <c r="AE356" i="119"/>
  <c r="Z356" i="119"/>
  <c r="AO355" i="119"/>
  <c r="AN355" i="119"/>
  <c r="AM355" i="119"/>
  <c r="AG355" i="119"/>
  <c r="AE355" i="119"/>
  <c r="Z355" i="119"/>
  <c r="AO354" i="119"/>
  <c r="AN354" i="119"/>
  <c r="AM354" i="119"/>
  <c r="AG354" i="119"/>
  <c r="AE354" i="119"/>
  <c r="Z354" i="119"/>
  <c r="AO353" i="119"/>
  <c r="AN353" i="119"/>
  <c r="AM353" i="119"/>
  <c r="AG353" i="119"/>
  <c r="AE353" i="119"/>
  <c r="Z353" i="119"/>
  <c r="AO352" i="119"/>
  <c r="AN352" i="119"/>
  <c r="AM352" i="119"/>
  <c r="AG352" i="119"/>
  <c r="AE352" i="119"/>
  <c r="Z352" i="119"/>
  <c r="AO351" i="119"/>
  <c r="AN351" i="119"/>
  <c r="AM351" i="119"/>
  <c r="AG351" i="119"/>
  <c r="AE351" i="119"/>
  <c r="Z351" i="119"/>
  <c r="AO350" i="119"/>
  <c r="AN350" i="119"/>
  <c r="AM350" i="119"/>
  <c r="AG350" i="119"/>
  <c r="AE350" i="119"/>
  <c r="Z350" i="119"/>
  <c r="AO349" i="119"/>
  <c r="AN349" i="119"/>
  <c r="AM349" i="119"/>
  <c r="AG349" i="119"/>
  <c r="AE349" i="119"/>
  <c r="Z349" i="119"/>
  <c r="AO348" i="119"/>
  <c r="AN348" i="119"/>
  <c r="AM348" i="119"/>
  <c r="AG348" i="119"/>
  <c r="AE348" i="119"/>
  <c r="Z348" i="119"/>
  <c r="AO347" i="119"/>
  <c r="AN347" i="119"/>
  <c r="AM347" i="119"/>
  <c r="AG347" i="119"/>
  <c r="AE347" i="119"/>
  <c r="Z347" i="119"/>
  <c r="AO346" i="119"/>
  <c r="AN346" i="119"/>
  <c r="AM346" i="119"/>
  <c r="AG346" i="119"/>
  <c r="AE346" i="119"/>
  <c r="Z346" i="119"/>
  <c r="AO345" i="119"/>
  <c r="AN345" i="119"/>
  <c r="AM345" i="119"/>
  <c r="AG345" i="119"/>
  <c r="AE345" i="119"/>
  <c r="Z345" i="119"/>
  <c r="AO344" i="119"/>
  <c r="AN344" i="119"/>
  <c r="AM344" i="119"/>
  <c r="AG344" i="119"/>
  <c r="AE344" i="119"/>
  <c r="Z344" i="119"/>
  <c r="AO343" i="119"/>
  <c r="AN343" i="119"/>
  <c r="AM343" i="119"/>
  <c r="AG343" i="119"/>
  <c r="AE343" i="119"/>
  <c r="Z343" i="119"/>
  <c r="AO342" i="119"/>
  <c r="AN342" i="119"/>
  <c r="AM342" i="119"/>
  <c r="AG342" i="119"/>
  <c r="AE342" i="119"/>
  <c r="Z342" i="119"/>
  <c r="AO341" i="119"/>
  <c r="AN341" i="119"/>
  <c r="AM341" i="119"/>
  <c r="AG341" i="119"/>
  <c r="AE341" i="119"/>
  <c r="Z341" i="119"/>
  <c r="AO340" i="119"/>
  <c r="AN340" i="119"/>
  <c r="AM340" i="119"/>
  <c r="AG340" i="119"/>
  <c r="AE340" i="119"/>
  <c r="Z340" i="119"/>
  <c r="AO339" i="119"/>
  <c r="AN339" i="119"/>
  <c r="AM339" i="119"/>
  <c r="AG339" i="119"/>
  <c r="AE339" i="119"/>
  <c r="Z339" i="119"/>
  <c r="AO338" i="119"/>
  <c r="AN338" i="119"/>
  <c r="AM338" i="119"/>
  <c r="AG338" i="119"/>
  <c r="AE338" i="119"/>
  <c r="Z338" i="119"/>
  <c r="AO337" i="119"/>
  <c r="AN337" i="119"/>
  <c r="AM337" i="119"/>
  <c r="AG337" i="119"/>
  <c r="AE337" i="119"/>
  <c r="Z337" i="119"/>
  <c r="AO336" i="119"/>
  <c r="AN336" i="119"/>
  <c r="AM336" i="119"/>
  <c r="AG336" i="119"/>
  <c r="AE336" i="119"/>
  <c r="Z336" i="119"/>
  <c r="AO335" i="119"/>
  <c r="AN335" i="119"/>
  <c r="AM335" i="119"/>
  <c r="AG335" i="119"/>
  <c r="AE335" i="119"/>
  <c r="Z335" i="119"/>
  <c r="AO334" i="119"/>
  <c r="AN334" i="119"/>
  <c r="AM334" i="119"/>
  <c r="AG334" i="119"/>
  <c r="AE334" i="119"/>
  <c r="Z334" i="119"/>
  <c r="AO333" i="119"/>
  <c r="AN333" i="119"/>
  <c r="AM333" i="119"/>
  <c r="AG333" i="119"/>
  <c r="AE333" i="119"/>
  <c r="Z333" i="119"/>
  <c r="AO332" i="119"/>
  <c r="AN332" i="119"/>
  <c r="AM332" i="119"/>
  <c r="AG332" i="119"/>
  <c r="AE332" i="119"/>
  <c r="Z332" i="119"/>
  <c r="AO331" i="119"/>
  <c r="AN331" i="119"/>
  <c r="AM331" i="119"/>
  <c r="AG331" i="119"/>
  <c r="AE331" i="119"/>
  <c r="Z331" i="119"/>
  <c r="AO330" i="119"/>
  <c r="AN330" i="119"/>
  <c r="AM330" i="119"/>
  <c r="AG330" i="119"/>
  <c r="AE330" i="119"/>
  <c r="Z330" i="119"/>
  <c r="AO329" i="119"/>
  <c r="AN329" i="119"/>
  <c r="AM329" i="119"/>
  <c r="AG329" i="119"/>
  <c r="AE329" i="119"/>
  <c r="Z329" i="119"/>
  <c r="AO328" i="119"/>
  <c r="AN328" i="119"/>
  <c r="AM328" i="119"/>
  <c r="AG328" i="119"/>
  <c r="AE328" i="119"/>
  <c r="Z328" i="119"/>
  <c r="AO327" i="119"/>
  <c r="AN327" i="119"/>
  <c r="AM327" i="119"/>
  <c r="AG327" i="119"/>
  <c r="AE327" i="119"/>
  <c r="Z327" i="119"/>
  <c r="AO326" i="119"/>
  <c r="AN326" i="119"/>
  <c r="AM326" i="119"/>
  <c r="AG326" i="119"/>
  <c r="AE326" i="119"/>
  <c r="Z326" i="119"/>
  <c r="AO325" i="119"/>
  <c r="AN325" i="119"/>
  <c r="AM325" i="119"/>
  <c r="AG325" i="119"/>
  <c r="AE325" i="119"/>
  <c r="Z325" i="119"/>
  <c r="AO324" i="119"/>
  <c r="AN324" i="119"/>
  <c r="AM324" i="119"/>
  <c r="AG324" i="119"/>
  <c r="AE324" i="119"/>
  <c r="Z324" i="119"/>
  <c r="AO323" i="119"/>
  <c r="AN323" i="119"/>
  <c r="AM323" i="119"/>
  <c r="AG323" i="119"/>
  <c r="AE323" i="119"/>
  <c r="Z323" i="119"/>
  <c r="AO322" i="119"/>
  <c r="AN322" i="119"/>
  <c r="AM322" i="119"/>
  <c r="AG322" i="119"/>
  <c r="AE322" i="119"/>
  <c r="Z322" i="119"/>
  <c r="AO321" i="119"/>
  <c r="AN321" i="119"/>
  <c r="AM321" i="119"/>
  <c r="AG321" i="119"/>
  <c r="AE321" i="119"/>
  <c r="Z321" i="119"/>
  <c r="AO320" i="119"/>
  <c r="AN320" i="119"/>
  <c r="AM320" i="119"/>
  <c r="AG320" i="119"/>
  <c r="AE320" i="119"/>
  <c r="Z320" i="119"/>
  <c r="AO319" i="119"/>
  <c r="AN319" i="119"/>
  <c r="AM319" i="119"/>
  <c r="AG319" i="119"/>
  <c r="AE319" i="119"/>
  <c r="Z319" i="119"/>
  <c r="AO318" i="119"/>
  <c r="AN318" i="119"/>
  <c r="AM318" i="119"/>
  <c r="AG318" i="119"/>
  <c r="AE318" i="119"/>
  <c r="Z318" i="119"/>
  <c r="AO317" i="119"/>
  <c r="AN317" i="119"/>
  <c r="AM317" i="119"/>
  <c r="AG317" i="119"/>
  <c r="AE317" i="119"/>
  <c r="Z317" i="119"/>
  <c r="AO316" i="119"/>
  <c r="AN316" i="119"/>
  <c r="AM316" i="119"/>
  <c r="AG316" i="119"/>
  <c r="AE316" i="119"/>
  <c r="Z316" i="119"/>
  <c r="AO315" i="119"/>
  <c r="AN315" i="119"/>
  <c r="AM315" i="119"/>
  <c r="AG315" i="119"/>
  <c r="AE315" i="119"/>
  <c r="Z315" i="119"/>
  <c r="AO314" i="119"/>
  <c r="AN314" i="119"/>
  <c r="AM314" i="119"/>
  <c r="AG314" i="119"/>
  <c r="AE314" i="119"/>
  <c r="Z314" i="119"/>
  <c r="AO313" i="119"/>
  <c r="AN313" i="119"/>
  <c r="AM313" i="119"/>
  <c r="AG313" i="119"/>
  <c r="AE313" i="119"/>
  <c r="Z313" i="119"/>
  <c r="AO312" i="119"/>
  <c r="AN312" i="119"/>
  <c r="AM312" i="119"/>
  <c r="AG312" i="119"/>
  <c r="AE312" i="119"/>
  <c r="Z312" i="119"/>
  <c r="AO311" i="119"/>
  <c r="AN311" i="119"/>
  <c r="AM311" i="119"/>
  <c r="AG311" i="119"/>
  <c r="AE311" i="119"/>
  <c r="Z311" i="119"/>
  <c r="AO310" i="119"/>
  <c r="AN310" i="119"/>
  <c r="AM310" i="119"/>
  <c r="AG310" i="119"/>
  <c r="AE310" i="119"/>
  <c r="Z310" i="119"/>
  <c r="AO309" i="119"/>
  <c r="AN309" i="119"/>
  <c r="AM309" i="119"/>
  <c r="AG309" i="119"/>
  <c r="AE309" i="119"/>
  <c r="Z309" i="119"/>
  <c r="AO308" i="119"/>
  <c r="AN308" i="119"/>
  <c r="AM308" i="119"/>
  <c r="AG308" i="119"/>
  <c r="AE308" i="119"/>
  <c r="Z308" i="119"/>
  <c r="AO307" i="119"/>
  <c r="AN307" i="119"/>
  <c r="AM307" i="119"/>
  <c r="AG307" i="119"/>
  <c r="AE307" i="119"/>
  <c r="Z307" i="119"/>
  <c r="AO306" i="119"/>
  <c r="AN306" i="119"/>
  <c r="AM306" i="119"/>
  <c r="AG306" i="119"/>
  <c r="AE306" i="119"/>
  <c r="Z306" i="119"/>
  <c r="AO305" i="119"/>
  <c r="AN305" i="119"/>
  <c r="AM305" i="119"/>
  <c r="AG305" i="119"/>
  <c r="AE305" i="119"/>
  <c r="Z305" i="119"/>
  <c r="AO304" i="119"/>
  <c r="AN304" i="119"/>
  <c r="AM304" i="119"/>
  <c r="AG304" i="119"/>
  <c r="AE304" i="119"/>
  <c r="Z304" i="119"/>
  <c r="AO303" i="119"/>
  <c r="AN303" i="119"/>
  <c r="AM303" i="119"/>
  <c r="AG303" i="119"/>
  <c r="AE303" i="119"/>
  <c r="Z303" i="119"/>
  <c r="AO302" i="119"/>
  <c r="AN302" i="119"/>
  <c r="AM302" i="119"/>
  <c r="AG302" i="119"/>
  <c r="AE302" i="119"/>
  <c r="Z302" i="119"/>
  <c r="AO301" i="119"/>
  <c r="AN301" i="119"/>
  <c r="AM301" i="119"/>
  <c r="AG301" i="119"/>
  <c r="AE301" i="119"/>
  <c r="Z301" i="119"/>
  <c r="AO300" i="119"/>
  <c r="AN300" i="119"/>
  <c r="AM300" i="119"/>
  <c r="AG300" i="119"/>
  <c r="AE300" i="119"/>
  <c r="Z300" i="119"/>
  <c r="AO299" i="119"/>
  <c r="AN299" i="119"/>
  <c r="AM299" i="119"/>
  <c r="AG299" i="119"/>
  <c r="AE299" i="119"/>
  <c r="Z299" i="119"/>
  <c r="AO298" i="119"/>
  <c r="AN298" i="119"/>
  <c r="AM298" i="119"/>
  <c r="AG298" i="119"/>
  <c r="AE298" i="119"/>
  <c r="Z298" i="119"/>
  <c r="AO297" i="119"/>
  <c r="AN297" i="119"/>
  <c r="AM297" i="119"/>
  <c r="AG297" i="119"/>
  <c r="AE297" i="119"/>
  <c r="Z297" i="119"/>
  <c r="AO296" i="119"/>
  <c r="AN296" i="119"/>
  <c r="AM296" i="119"/>
  <c r="AG296" i="119"/>
  <c r="AE296" i="119"/>
  <c r="Z296" i="119"/>
  <c r="AO295" i="119"/>
  <c r="AN295" i="119"/>
  <c r="AM295" i="119"/>
  <c r="AG295" i="119"/>
  <c r="AE295" i="119"/>
  <c r="Z295" i="119"/>
  <c r="AO294" i="119"/>
  <c r="AN294" i="119"/>
  <c r="AM294" i="119"/>
  <c r="AG294" i="119"/>
  <c r="AE294" i="119"/>
  <c r="Z294" i="119"/>
  <c r="AO293" i="119"/>
  <c r="AN293" i="119"/>
  <c r="AM293" i="119"/>
  <c r="AG293" i="119"/>
  <c r="AE293" i="119"/>
  <c r="Z293" i="119"/>
  <c r="AO292" i="119"/>
  <c r="AN292" i="119"/>
  <c r="AM292" i="119"/>
  <c r="AG292" i="119"/>
  <c r="AE292" i="119"/>
  <c r="Z292" i="119"/>
  <c r="AO291" i="119"/>
  <c r="AN291" i="119"/>
  <c r="AM291" i="119"/>
  <c r="AG291" i="119"/>
  <c r="AE291" i="119"/>
  <c r="Z291" i="119"/>
  <c r="AO290" i="119"/>
  <c r="AN290" i="119"/>
  <c r="AM290" i="119"/>
  <c r="AG290" i="119"/>
  <c r="AE290" i="119"/>
  <c r="Z290" i="119"/>
  <c r="AO289" i="119"/>
  <c r="AN289" i="119"/>
  <c r="AM289" i="119"/>
  <c r="AG289" i="119"/>
  <c r="AE289" i="119"/>
  <c r="Z289" i="119"/>
  <c r="AO288" i="119"/>
  <c r="AN288" i="119"/>
  <c r="AM288" i="119"/>
  <c r="AG288" i="119"/>
  <c r="AE288" i="119"/>
  <c r="Z288" i="119"/>
  <c r="AO287" i="119"/>
  <c r="AN287" i="119"/>
  <c r="AM287" i="119"/>
  <c r="AG287" i="119"/>
  <c r="AE287" i="119"/>
  <c r="Z287" i="119"/>
  <c r="AO286" i="119"/>
  <c r="AN286" i="119"/>
  <c r="AM286" i="119"/>
  <c r="AG286" i="119"/>
  <c r="AE286" i="119"/>
  <c r="Z286" i="119"/>
  <c r="AO285" i="119"/>
  <c r="AN285" i="119"/>
  <c r="AM285" i="119"/>
  <c r="AG285" i="119"/>
  <c r="AE285" i="119"/>
  <c r="Z285" i="119"/>
  <c r="AO284" i="119"/>
  <c r="AN284" i="119"/>
  <c r="AM284" i="119"/>
  <c r="AG284" i="119"/>
  <c r="AE284" i="119"/>
  <c r="Z284" i="119"/>
  <c r="AO283" i="119"/>
  <c r="AN283" i="119"/>
  <c r="AM283" i="119"/>
  <c r="AG283" i="119"/>
  <c r="AE283" i="119"/>
  <c r="Z283" i="119"/>
  <c r="AO282" i="119"/>
  <c r="AN282" i="119"/>
  <c r="AM282" i="119"/>
  <c r="AG282" i="119"/>
  <c r="AE282" i="119"/>
  <c r="Z282" i="119"/>
  <c r="AO281" i="119"/>
  <c r="AN281" i="119"/>
  <c r="AM281" i="119"/>
  <c r="AG281" i="119"/>
  <c r="AE281" i="119"/>
  <c r="Z281" i="119"/>
  <c r="AO280" i="119"/>
  <c r="AN280" i="119"/>
  <c r="AM280" i="119"/>
  <c r="AG280" i="119"/>
  <c r="AE280" i="119"/>
  <c r="Z280" i="119"/>
  <c r="AO279" i="119"/>
  <c r="AN279" i="119"/>
  <c r="AM279" i="119"/>
  <c r="AG279" i="119"/>
  <c r="AE279" i="119"/>
  <c r="Z279" i="119"/>
  <c r="AO278" i="119"/>
  <c r="AN278" i="119"/>
  <c r="AM278" i="119"/>
  <c r="AG278" i="119"/>
  <c r="AE278" i="119"/>
  <c r="Z278" i="119"/>
  <c r="AO277" i="119"/>
  <c r="AN277" i="119"/>
  <c r="AM277" i="119"/>
  <c r="AG277" i="119"/>
  <c r="AE277" i="119"/>
  <c r="Z277" i="119"/>
  <c r="AO276" i="119"/>
  <c r="AN276" i="119"/>
  <c r="AM276" i="119"/>
  <c r="AG276" i="119"/>
  <c r="AE276" i="119"/>
  <c r="Z276" i="119"/>
  <c r="AO275" i="119"/>
  <c r="AN275" i="119"/>
  <c r="AM275" i="119"/>
  <c r="AG275" i="119"/>
  <c r="AE275" i="119"/>
  <c r="Z275" i="119"/>
  <c r="AO274" i="119"/>
  <c r="AN274" i="119"/>
  <c r="AM274" i="119"/>
  <c r="AG274" i="119"/>
  <c r="AE274" i="119"/>
  <c r="Z274" i="119"/>
  <c r="AO273" i="119"/>
  <c r="AN273" i="119"/>
  <c r="AM273" i="119"/>
  <c r="AG273" i="119"/>
  <c r="AE273" i="119"/>
  <c r="Z273" i="119"/>
  <c r="AO272" i="119"/>
  <c r="AN272" i="119"/>
  <c r="AM272" i="119"/>
  <c r="AG272" i="119"/>
  <c r="AE272" i="119"/>
  <c r="Z272" i="119"/>
  <c r="AO271" i="119"/>
  <c r="AN271" i="119"/>
  <c r="AM271" i="119"/>
  <c r="AG271" i="119"/>
  <c r="AE271" i="119"/>
  <c r="Z271" i="119"/>
  <c r="AO270" i="119"/>
  <c r="AN270" i="119"/>
  <c r="AM270" i="119"/>
  <c r="AG270" i="119"/>
  <c r="AE270" i="119"/>
  <c r="Z270" i="119"/>
  <c r="AO269" i="119"/>
  <c r="AN269" i="119"/>
  <c r="AM269" i="119"/>
  <c r="AG269" i="119"/>
  <c r="AE269" i="119"/>
  <c r="Z269" i="119"/>
  <c r="AO268" i="119"/>
  <c r="AN268" i="119"/>
  <c r="AM268" i="119"/>
  <c r="AG268" i="119"/>
  <c r="AE268" i="119"/>
  <c r="Z268" i="119"/>
  <c r="AO267" i="119"/>
  <c r="AN267" i="119"/>
  <c r="AM267" i="119"/>
  <c r="AG267" i="119"/>
  <c r="AE267" i="119"/>
  <c r="Z267" i="119"/>
  <c r="AO266" i="119"/>
  <c r="AN266" i="119"/>
  <c r="AM266" i="119"/>
  <c r="AG266" i="119"/>
  <c r="AE266" i="119"/>
  <c r="Z266" i="119"/>
  <c r="AO265" i="119"/>
  <c r="AN265" i="119"/>
  <c r="AM265" i="119"/>
  <c r="AG265" i="119"/>
  <c r="AE265" i="119"/>
  <c r="Z265" i="119"/>
  <c r="AO264" i="119"/>
  <c r="AN264" i="119"/>
  <c r="AM264" i="119"/>
  <c r="AG264" i="119"/>
  <c r="AE264" i="119"/>
  <c r="Z264" i="119"/>
  <c r="AO263" i="119"/>
  <c r="AN263" i="119"/>
  <c r="AM263" i="119"/>
  <c r="AG263" i="119"/>
  <c r="AE263" i="119"/>
  <c r="Z263" i="119"/>
  <c r="AO262" i="119"/>
  <c r="AN262" i="119"/>
  <c r="AM262" i="119"/>
  <c r="AG262" i="119"/>
  <c r="AE262" i="119"/>
  <c r="Z262" i="119"/>
  <c r="AO261" i="119"/>
  <c r="AN261" i="119"/>
  <c r="AM261" i="119"/>
  <c r="AG261" i="119"/>
  <c r="AE261" i="119"/>
  <c r="Z261" i="119"/>
  <c r="AO260" i="119"/>
  <c r="AN260" i="119"/>
  <c r="AM260" i="119"/>
  <c r="AG260" i="119"/>
  <c r="AE260" i="119"/>
  <c r="Z260" i="119"/>
  <c r="AO259" i="119"/>
  <c r="AN259" i="119"/>
  <c r="AM259" i="119"/>
  <c r="AG259" i="119"/>
  <c r="AE259" i="119"/>
  <c r="Z259" i="119"/>
  <c r="AO258" i="119"/>
  <c r="AN258" i="119"/>
  <c r="AM258" i="119"/>
  <c r="AG258" i="119"/>
  <c r="AE258" i="119"/>
  <c r="Z258" i="119"/>
  <c r="AO257" i="119"/>
  <c r="AN257" i="119"/>
  <c r="AM257" i="119"/>
  <c r="AG257" i="119"/>
  <c r="AE257" i="119"/>
  <c r="Z257" i="119"/>
  <c r="AO256" i="119"/>
  <c r="AN256" i="119"/>
  <c r="AM256" i="119"/>
  <c r="AG256" i="119"/>
  <c r="AE256" i="119"/>
  <c r="Z256" i="119"/>
  <c r="AO255" i="119"/>
  <c r="AN255" i="119"/>
  <c r="AM255" i="119"/>
  <c r="AG255" i="119"/>
  <c r="AE255" i="119"/>
  <c r="Z255" i="119"/>
  <c r="AO254" i="119"/>
  <c r="AN254" i="119"/>
  <c r="AM254" i="119"/>
  <c r="AG254" i="119"/>
  <c r="AE254" i="119"/>
  <c r="Z254" i="119"/>
  <c r="AO253" i="119"/>
  <c r="AN253" i="119"/>
  <c r="AM253" i="119"/>
  <c r="AG253" i="119"/>
  <c r="AE253" i="119"/>
  <c r="Z253" i="119"/>
  <c r="AO252" i="119"/>
  <c r="AN252" i="119"/>
  <c r="AM252" i="119"/>
  <c r="AG252" i="119"/>
  <c r="AE252" i="119"/>
  <c r="Z252" i="119"/>
  <c r="AO251" i="119"/>
  <c r="AN251" i="119"/>
  <c r="AM251" i="119"/>
  <c r="AG251" i="119"/>
  <c r="AE251" i="119"/>
  <c r="Z251" i="119"/>
  <c r="AO250" i="119"/>
  <c r="AN250" i="119"/>
  <c r="AM250" i="119"/>
  <c r="AG250" i="119"/>
  <c r="AE250" i="119"/>
  <c r="Z250" i="119"/>
  <c r="AO249" i="119"/>
  <c r="AN249" i="119"/>
  <c r="AM249" i="119"/>
  <c r="AG249" i="119"/>
  <c r="AE249" i="119"/>
  <c r="Z249" i="119"/>
  <c r="AO248" i="119"/>
  <c r="AN248" i="119"/>
  <c r="AM248" i="119"/>
  <c r="AG248" i="119"/>
  <c r="AE248" i="119"/>
  <c r="Z248" i="119"/>
  <c r="AO247" i="119"/>
  <c r="AN247" i="119"/>
  <c r="AM247" i="119"/>
  <c r="AG247" i="119"/>
  <c r="AE247" i="119"/>
  <c r="Z247" i="119"/>
  <c r="AO246" i="119"/>
  <c r="AN246" i="119"/>
  <c r="AM246" i="119"/>
  <c r="AG246" i="119"/>
  <c r="AE246" i="119"/>
  <c r="Z246" i="119"/>
  <c r="AO245" i="119"/>
  <c r="AN245" i="119"/>
  <c r="AM245" i="119"/>
  <c r="AG245" i="119"/>
  <c r="AE245" i="119"/>
  <c r="Z245" i="119"/>
  <c r="AO244" i="119"/>
  <c r="AN244" i="119"/>
  <c r="AM244" i="119"/>
  <c r="AG244" i="119"/>
  <c r="AE244" i="119"/>
  <c r="Z244" i="119"/>
  <c r="AO243" i="119"/>
  <c r="AN243" i="119"/>
  <c r="AM243" i="119"/>
  <c r="AG243" i="119"/>
  <c r="AE243" i="119"/>
  <c r="Z243" i="119"/>
  <c r="AO242" i="119"/>
  <c r="AN242" i="119"/>
  <c r="AM242" i="119"/>
  <c r="AG242" i="119"/>
  <c r="AE242" i="119"/>
  <c r="Z242" i="119"/>
  <c r="AO241" i="119"/>
  <c r="AN241" i="119"/>
  <c r="AM241" i="119"/>
  <c r="AG241" i="119"/>
  <c r="AE241" i="119"/>
  <c r="Z241" i="119"/>
  <c r="AO240" i="119"/>
  <c r="AN240" i="119"/>
  <c r="AM240" i="119"/>
  <c r="AG240" i="119"/>
  <c r="AE240" i="119"/>
  <c r="Z240" i="119"/>
  <c r="AO239" i="119"/>
  <c r="AN239" i="119"/>
  <c r="AM239" i="119"/>
  <c r="AG239" i="119"/>
  <c r="AE239" i="119"/>
  <c r="Z239" i="119"/>
  <c r="AO238" i="119"/>
  <c r="AN238" i="119"/>
  <c r="AM238" i="119"/>
  <c r="AG238" i="119"/>
  <c r="AE238" i="119"/>
  <c r="Z238" i="119"/>
  <c r="AO237" i="119"/>
  <c r="AN237" i="119"/>
  <c r="AM237" i="119"/>
  <c r="AG237" i="119"/>
  <c r="AE237" i="119"/>
  <c r="Z237" i="119"/>
  <c r="AO236" i="119"/>
  <c r="AN236" i="119"/>
  <c r="AM236" i="119"/>
  <c r="AG236" i="119"/>
  <c r="AE236" i="119"/>
  <c r="Z236" i="119"/>
  <c r="AO235" i="119"/>
  <c r="AN235" i="119"/>
  <c r="AM235" i="119"/>
  <c r="AG235" i="119"/>
  <c r="AE235" i="119"/>
  <c r="Z235" i="119"/>
  <c r="AO234" i="119"/>
  <c r="AN234" i="119"/>
  <c r="AM234" i="119"/>
  <c r="AG234" i="119"/>
  <c r="AE234" i="119"/>
  <c r="Z234" i="119"/>
  <c r="AO233" i="119"/>
  <c r="AN233" i="119"/>
  <c r="AM233" i="119"/>
  <c r="AG233" i="119"/>
  <c r="AE233" i="119"/>
  <c r="Z233" i="119"/>
  <c r="AO232" i="119"/>
  <c r="AN232" i="119"/>
  <c r="AM232" i="119"/>
  <c r="AG232" i="119"/>
  <c r="AE232" i="119"/>
  <c r="Z232" i="119"/>
  <c r="AO231" i="119"/>
  <c r="AN231" i="119"/>
  <c r="AM231" i="119"/>
  <c r="AG231" i="119"/>
  <c r="AE231" i="119"/>
  <c r="Z231" i="119"/>
  <c r="AO230" i="119"/>
  <c r="AN230" i="119"/>
  <c r="AM230" i="119"/>
  <c r="AG230" i="119"/>
  <c r="AE230" i="119"/>
  <c r="Z230" i="119"/>
  <c r="AO229" i="119"/>
  <c r="AN229" i="119"/>
  <c r="AM229" i="119"/>
  <c r="AG229" i="119"/>
  <c r="AE229" i="119"/>
  <c r="Z229" i="119"/>
  <c r="AO228" i="119"/>
  <c r="AN228" i="119"/>
  <c r="AM228" i="119"/>
  <c r="AG228" i="119"/>
  <c r="AE228" i="119"/>
  <c r="Z228" i="119"/>
  <c r="AO227" i="119"/>
  <c r="AN227" i="119"/>
  <c r="AM227" i="119"/>
  <c r="AG227" i="119"/>
  <c r="AE227" i="119"/>
  <c r="Z227" i="119"/>
  <c r="AO226" i="119"/>
  <c r="AN226" i="119"/>
  <c r="AM226" i="119"/>
  <c r="AG226" i="119"/>
  <c r="AE226" i="119"/>
  <c r="Z226" i="119"/>
  <c r="AO225" i="119"/>
  <c r="AN225" i="119"/>
  <c r="AM225" i="119"/>
  <c r="AG225" i="119"/>
  <c r="AE225" i="119"/>
  <c r="Z225" i="119"/>
  <c r="AO224" i="119"/>
  <c r="AN224" i="119"/>
  <c r="AM224" i="119"/>
  <c r="AG224" i="119"/>
  <c r="AE224" i="119"/>
  <c r="Z224" i="119"/>
  <c r="AO223" i="119"/>
  <c r="AN223" i="119"/>
  <c r="AM223" i="119"/>
  <c r="AG223" i="119"/>
  <c r="AE223" i="119"/>
  <c r="Z223" i="119"/>
  <c r="AO222" i="119"/>
  <c r="AN222" i="119"/>
  <c r="AM222" i="119"/>
  <c r="AG222" i="119"/>
  <c r="AE222" i="119"/>
  <c r="Z222" i="119"/>
  <c r="AO221" i="119"/>
  <c r="AN221" i="119"/>
  <c r="AM221" i="119"/>
  <c r="AG221" i="119"/>
  <c r="AE221" i="119"/>
  <c r="Z221" i="119"/>
  <c r="AO220" i="119"/>
  <c r="AN220" i="119"/>
  <c r="AM220" i="119"/>
  <c r="AG220" i="119"/>
  <c r="AE220" i="119"/>
  <c r="Z220" i="119"/>
  <c r="AO219" i="119"/>
  <c r="AN219" i="119"/>
  <c r="AM219" i="119"/>
  <c r="AG219" i="119"/>
  <c r="AE219" i="119"/>
  <c r="Z219" i="119"/>
  <c r="AO218" i="119"/>
  <c r="AN218" i="119"/>
  <c r="AM218" i="119"/>
  <c r="AG218" i="119"/>
  <c r="AE218" i="119"/>
  <c r="Z218" i="119"/>
  <c r="AO217" i="119"/>
  <c r="AN217" i="119"/>
  <c r="AM217" i="119"/>
  <c r="AG217" i="119"/>
  <c r="AE217" i="119"/>
  <c r="Z217" i="119"/>
  <c r="AO216" i="119"/>
  <c r="AN216" i="119"/>
  <c r="AM216" i="119"/>
  <c r="AG216" i="119"/>
  <c r="AE216" i="119"/>
  <c r="Z216" i="119"/>
  <c r="AO215" i="119"/>
  <c r="AN215" i="119"/>
  <c r="AM215" i="119"/>
  <c r="AG215" i="119"/>
  <c r="AE215" i="119"/>
  <c r="Z215" i="119"/>
  <c r="AO214" i="119"/>
  <c r="AN214" i="119"/>
  <c r="AM214" i="119"/>
  <c r="AG214" i="119"/>
  <c r="AE214" i="119"/>
  <c r="Z214" i="119"/>
  <c r="AO213" i="119"/>
  <c r="AN213" i="119"/>
  <c r="AM213" i="119"/>
  <c r="AG213" i="119"/>
  <c r="AE213" i="119"/>
  <c r="Z213" i="119"/>
  <c r="AO212" i="119"/>
  <c r="AN212" i="119"/>
  <c r="AM212" i="119"/>
  <c r="AG212" i="119"/>
  <c r="AE212" i="119"/>
  <c r="Z212" i="119"/>
  <c r="AO211" i="119"/>
  <c r="AN211" i="119"/>
  <c r="AM211" i="119"/>
  <c r="AG211" i="119"/>
  <c r="AE211" i="119"/>
  <c r="Z211" i="119"/>
  <c r="AO210" i="119"/>
  <c r="AN210" i="119"/>
  <c r="AM210" i="119"/>
  <c r="AG210" i="119"/>
  <c r="AE210" i="119"/>
  <c r="Z210" i="119"/>
  <c r="AO209" i="119"/>
  <c r="AN209" i="119"/>
  <c r="AM209" i="119"/>
  <c r="AG209" i="119"/>
  <c r="AE209" i="119"/>
  <c r="Z209" i="119"/>
  <c r="AO208" i="119"/>
  <c r="AN208" i="119"/>
  <c r="AM208" i="119"/>
  <c r="AG208" i="119"/>
  <c r="AE208" i="119"/>
  <c r="Z208" i="119"/>
  <c r="AO207" i="119"/>
  <c r="AN207" i="119"/>
  <c r="AM207" i="119"/>
  <c r="AG207" i="119"/>
  <c r="AE207" i="119"/>
  <c r="Z207" i="119"/>
  <c r="AO206" i="119"/>
  <c r="AN206" i="119"/>
  <c r="AM206" i="119"/>
  <c r="AG206" i="119"/>
  <c r="AE206" i="119"/>
  <c r="Z206" i="119"/>
  <c r="AO205" i="119"/>
  <c r="AN205" i="119"/>
  <c r="AM205" i="119"/>
  <c r="AG205" i="119"/>
  <c r="AE205" i="119"/>
  <c r="Z205" i="119"/>
  <c r="AO204" i="119"/>
  <c r="AN204" i="119"/>
  <c r="AM204" i="119"/>
  <c r="AG204" i="119"/>
  <c r="AE204" i="119"/>
  <c r="Z204" i="119"/>
  <c r="AO203" i="119"/>
  <c r="AN203" i="119"/>
  <c r="AM203" i="119"/>
  <c r="AG203" i="119"/>
  <c r="AE203" i="119"/>
  <c r="Z203" i="119"/>
  <c r="AO202" i="119"/>
  <c r="AN202" i="119"/>
  <c r="AM202" i="119"/>
  <c r="AG202" i="119"/>
  <c r="AE202" i="119"/>
  <c r="Z202" i="119"/>
  <c r="AO201" i="119"/>
  <c r="AN201" i="119"/>
  <c r="AM201" i="119"/>
  <c r="AG201" i="119"/>
  <c r="AE201" i="119"/>
  <c r="Z201" i="119"/>
  <c r="AO200" i="119"/>
  <c r="AN200" i="119"/>
  <c r="AM200" i="119"/>
  <c r="AG200" i="119"/>
  <c r="AE200" i="119"/>
  <c r="Z200" i="119"/>
  <c r="AO199" i="119"/>
  <c r="AN199" i="119"/>
  <c r="AM199" i="119"/>
  <c r="AG199" i="119"/>
  <c r="AE199" i="119"/>
  <c r="Z199" i="119"/>
  <c r="AO198" i="119"/>
  <c r="AN198" i="119"/>
  <c r="AM198" i="119"/>
  <c r="AG198" i="119"/>
  <c r="AE198" i="119"/>
  <c r="Z198" i="119"/>
  <c r="AO197" i="119"/>
  <c r="AN197" i="119"/>
  <c r="AM197" i="119"/>
  <c r="AG197" i="119"/>
  <c r="AE197" i="119"/>
  <c r="Z197" i="119"/>
  <c r="AO196" i="119"/>
  <c r="AN196" i="119"/>
  <c r="AM196" i="119"/>
  <c r="AG196" i="119"/>
  <c r="AE196" i="119"/>
  <c r="Z196" i="119"/>
  <c r="AO195" i="119"/>
  <c r="AN195" i="119"/>
  <c r="AM195" i="119"/>
  <c r="AG195" i="119"/>
  <c r="AE195" i="119"/>
  <c r="Z195" i="119"/>
  <c r="AO194" i="119"/>
  <c r="AN194" i="119"/>
  <c r="AM194" i="119"/>
  <c r="AG194" i="119"/>
  <c r="AE194" i="119"/>
  <c r="Z194" i="119"/>
  <c r="AO193" i="119"/>
  <c r="AN193" i="119"/>
  <c r="AM193" i="119"/>
  <c r="AG193" i="119"/>
  <c r="AE193" i="119"/>
  <c r="Z193" i="119"/>
  <c r="AO192" i="119"/>
  <c r="AN192" i="119"/>
  <c r="AM192" i="119"/>
  <c r="AG192" i="119"/>
  <c r="AE192" i="119"/>
  <c r="Z192" i="119"/>
  <c r="AO191" i="119"/>
  <c r="AN191" i="119"/>
  <c r="AM191" i="119"/>
  <c r="AG191" i="119"/>
  <c r="AE191" i="119"/>
  <c r="Z191" i="119"/>
  <c r="AO190" i="119"/>
  <c r="AN190" i="119"/>
  <c r="AM190" i="119"/>
  <c r="AG190" i="119"/>
  <c r="AE190" i="119"/>
  <c r="Z190" i="119"/>
  <c r="AO189" i="119"/>
  <c r="AN189" i="119"/>
  <c r="AM189" i="119"/>
  <c r="AG189" i="119"/>
  <c r="AE189" i="119"/>
  <c r="Z189" i="119"/>
  <c r="AO188" i="119"/>
  <c r="AN188" i="119"/>
  <c r="AM188" i="119"/>
  <c r="AG188" i="119"/>
  <c r="AE188" i="119"/>
  <c r="Z188" i="119"/>
  <c r="AO187" i="119"/>
  <c r="AN187" i="119"/>
  <c r="AM187" i="119"/>
  <c r="AG187" i="119"/>
  <c r="AE187" i="119"/>
  <c r="Z187" i="119"/>
  <c r="AO186" i="119"/>
  <c r="AN186" i="119"/>
  <c r="AM186" i="119"/>
  <c r="AG186" i="119"/>
  <c r="AE186" i="119"/>
  <c r="Z186" i="119"/>
  <c r="AO185" i="119"/>
  <c r="AN185" i="119"/>
  <c r="AM185" i="119"/>
  <c r="AG185" i="119"/>
  <c r="AE185" i="119"/>
  <c r="Z185" i="119"/>
  <c r="AO184" i="119"/>
  <c r="AN184" i="119"/>
  <c r="AM184" i="119"/>
  <c r="AG184" i="119"/>
  <c r="AE184" i="119"/>
  <c r="Z184" i="119"/>
  <c r="AO183" i="119"/>
  <c r="AN183" i="119"/>
  <c r="AM183" i="119"/>
  <c r="AG183" i="119"/>
  <c r="AE183" i="119"/>
  <c r="Z183" i="119"/>
  <c r="AO182" i="119"/>
  <c r="AN182" i="119"/>
  <c r="AM182" i="119"/>
  <c r="AG182" i="119"/>
  <c r="AE182" i="119"/>
  <c r="Z182" i="119"/>
  <c r="AO181" i="119"/>
  <c r="AN181" i="119"/>
  <c r="AM181" i="119"/>
  <c r="AG181" i="119"/>
  <c r="AE181" i="119"/>
  <c r="Z181" i="119"/>
  <c r="AO180" i="119"/>
  <c r="AN180" i="119"/>
  <c r="AM180" i="119"/>
  <c r="AG180" i="119"/>
  <c r="AE180" i="119"/>
  <c r="Z180" i="119"/>
  <c r="AO179" i="119"/>
  <c r="AN179" i="119"/>
  <c r="AM179" i="119"/>
  <c r="AG179" i="119"/>
  <c r="AE179" i="119"/>
  <c r="Z179" i="119"/>
  <c r="AO178" i="119"/>
  <c r="AN178" i="119"/>
  <c r="AM178" i="119"/>
  <c r="AG178" i="119"/>
  <c r="AE178" i="119"/>
  <c r="Z178" i="119"/>
  <c r="AO177" i="119"/>
  <c r="AN177" i="119"/>
  <c r="AM177" i="119"/>
  <c r="AG177" i="119"/>
  <c r="AE177" i="119"/>
  <c r="Z177" i="119"/>
  <c r="AO176" i="119"/>
  <c r="AN176" i="119"/>
  <c r="AM176" i="119"/>
  <c r="AG176" i="119"/>
  <c r="AE176" i="119"/>
  <c r="Z176" i="119"/>
  <c r="AO175" i="119"/>
  <c r="AN175" i="119"/>
  <c r="AM175" i="119"/>
  <c r="AG175" i="119"/>
  <c r="AE175" i="119"/>
  <c r="Z175" i="119"/>
  <c r="AO174" i="119"/>
  <c r="AN174" i="119"/>
  <c r="AM174" i="119"/>
  <c r="AG174" i="119"/>
  <c r="AE174" i="119"/>
  <c r="Z174" i="119"/>
  <c r="AO173" i="119"/>
  <c r="AN173" i="119"/>
  <c r="AM173" i="119"/>
  <c r="AG173" i="119"/>
  <c r="AE173" i="119"/>
  <c r="Z173" i="119"/>
  <c r="AO172" i="119"/>
  <c r="AN172" i="119"/>
  <c r="AM172" i="119"/>
  <c r="AG172" i="119"/>
  <c r="AE172" i="119"/>
  <c r="Z172" i="119"/>
  <c r="AO171" i="119"/>
  <c r="AN171" i="119"/>
  <c r="AM171" i="119"/>
  <c r="AG171" i="119"/>
  <c r="AE171" i="119"/>
  <c r="Z171" i="119"/>
  <c r="AO170" i="119"/>
  <c r="AN170" i="119"/>
  <c r="AM170" i="119"/>
  <c r="AG170" i="119"/>
  <c r="AE170" i="119"/>
  <c r="Z170" i="119"/>
  <c r="AO169" i="119"/>
  <c r="AN169" i="119"/>
  <c r="AM169" i="119"/>
  <c r="AG169" i="119"/>
  <c r="AE169" i="119"/>
  <c r="Z169" i="119"/>
  <c r="AO168" i="119"/>
  <c r="AN168" i="119"/>
  <c r="AM168" i="119"/>
  <c r="AG168" i="119"/>
  <c r="AE168" i="119"/>
  <c r="Z168" i="119"/>
  <c r="AO167" i="119"/>
  <c r="AN167" i="119"/>
  <c r="AM167" i="119"/>
  <c r="AG167" i="119"/>
  <c r="AE167" i="119"/>
  <c r="Z167" i="119"/>
  <c r="AO166" i="119"/>
  <c r="AN166" i="119"/>
  <c r="AM166" i="119"/>
  <c r="AG166" i="119"/>
  <c r="AE166" i="119"/>
  <c r="Z166" i="119"/>
  <c r="AO165" i="119"/>
  <c r="AN165" i="119"/>
  <c r="AM165" i="119"/>
  <c r="AG165" i="119"/>
  <c r="AE165" i="119"/>
  <c r="Z165" i="119"/>
  <c r="AO164" i="119"/>
  <c r="AN164" i="119"/>
  <c r="AM164" i="119"/>
  <c r="AG164" i="119"/>
  <c r="AE164" i="119"/>
  <c r="Z164" i="119"/>
  <c r="AO163" i="119"/>
  <c r="AN163" i="119"/>
  <c r="AM163" i="119"/>
  <c r="AG163" i="119"/>
  <c r="AE163" i="119"/>
  <c r="Z163" i="119"/>
  <c r="AO162" i="119"/>
  <c r="AN162" i="119"/>
  <c r="AM162" i="119"/>
  <c r="AG162" i="119"/>
  <c r="AE162" i="119"/>
  <c r="Z162" i="119"/>
  <c r="AO161" i="119"/>
  <c r="AN161" i="119"/>
  <c r="AM161" i="119"/>
  <c r="AG161" i="119"/>
  <c r="AE161" i="119"/>
  <c r="Z161" i="119"/>
  <c r="AO160" i="119"/>
  <c r="AN160" i="119"/>
  <c r="AM160" i="119"/>
  <c r="AG160" i="119"/>
  <c r="AE160" i="119"/>
  <c r="Z160" i="119"/>
  <c r="AO159" i="119"/>
  <c r="AN159" i="119"/>
  <c r="AM159" i="119"/>
  <c r="AG159" i="119"/>
  <c r="AE159" i="119"/>
  <c r="Z159" i="119"/>
  <c r="AO158" i="119"/>
  <c r="AN158" i="119"/>
  <c r="AM158" i="119"/>
  <c r="AG158" i="119"/>
  <c r="AE158" i="119"/>
  <c r="Z158" i="119"/>
  <c r="AO157" i="119"/>
  <c r="AN157" i="119"/>
  <c r="AM157" i="119"/>
  <c r="AG157" i="119"/>
  <c r="AE157" i="119"/>
  <c r="Z157" i="119"/>
  <c r="AO156" i="119"/>
  <c r="AN156" i="119"/>
  <c r="AM156" i="119"/>
  <c r="AG156" i="119"/>
  <c r="AE156" i="119"/>
  <c r="Z156" i="119"/>
  <c r="AO155" i="119"/>
  <c r="AN155" i="119"/>
  <c r="AM155" i="119"/>
  <c r="AG155" i="119"/>
  <c r="AE155" i="119"/>
  <c r="Z155" i="119"/>
  <c r="AO154" i="119"/>
  <c r="AN154" i="119"/>
  <c r="AM154" i="119"/>
  <c r="AG154" i="119"/>
  <c r="AE154" i="119"/>
  <c r="Z154" i="119"/>
  <c r="AO153" i="119"/>
  <c r="AN153" i="119"/>
  <c r="AM153" i="119"/>
  <c r="AG153" i="119"/>
  <c r="AE153" i="119"/>
  <c r="Z153" i="119"/>
  <c r="AO152" i="119"/>
  <c r="AN152" i="119"/>
  <c r="AM152" i="119"/>
  <c r="AG152" i="119"/>
  <c r="AE152" i="119"/>
  <c r="Z152" i="119"/>
  <c r="AO151" i="119"/>
  <c r="AN151" i="119"/>
  <c r="AM151" i="119"/>
  <c r="AG151" i="119"/>
  <c r="AE151" i="119"/>
  <c r="Z151" i="119"/>
  <c r="AO150" i="119"/>
  <c r="AN150" i="119"/>
  <c r="AM150" i="119"/>
  <c r="AG150" i="119"/>
  <c r="AE150" i="119"/>
  <c r="Z150" i="119"/>
  <c r="AO149" i="119"/>
  <c r="AN149" i="119"/>
  <c r="AM149" i="119"/>
  <c r="AG149" i="119"/>
  <c r="AE149" i="119"/>
  <c r="Z149" i="119"/>
  <c r="AO148" i="119"/>
  <c r="AN148" i="119"/>
  <c r="AM148" i="119"/>
  <c r="AG148" i="119"/>
  <c r="AE148" i="119"/>
  <c r="Z148" i="119"/>
  <c r="AO147" i="119"/>
  <c r="AN147" i="119"/>
  <c r="AM147" i="119"/>
  <c r="AG147" i="119"/>
  <c r="AE147" i="119"/>
  <c r="Z147" i="119"/>
  <c r="AO146" i="119"/>
  <c r="AN146" i="119"/>
  <c r="AM146" i="119"/>
  <c r="AG146" i="119"/>
  <c r="AE146" i="119"/>
  <c r="Z146" i="119"/>
  <c r="AO145" i="119"/>
  <c r="AN145" i="119"/>
  <c r="AM145" i="119"/>
  <c r="AG145" i="119"/>
  <c r="AE145" i="119"/>
  <c r="Z145" i="119"/>
  <c r="AO144" i="119"/>
  <c r="AN144" i="119"/>
  <c r="AM144" i="119"/>
  <c r="AG144" i="119"/>
  <c r="AE144" i="119"/>
  <c r="Z144" i="119"/>
  <c r="AO143" i="119"/>
  <c r="AN143" i="119"/>
  <c r="AM143" i="119"/>
  <c r="AG143" i="119"/>
  <c r="AE143" i="119"/>
  <c r="Z143" i="119"/>
  <c r="AO142" i="119"/>
  <c r="AN142" i="119"/>
  <c r="AM142" i="119"/>
  <c r="AG142" i="119"/>
  <c r="AE142" i="119"/>
  <c r="Z142" i="119"/>
  <c r="AO141" i="119"/>
  <c r="AN141" i="119"/>
  <c r="AM141" i="119"/>
  <c r="AG141" i="119"/>
  <c r="AE141" i="119"/>
  <c r="Z141" i="119"/>
  <c r="AO140" i="119"/>
  <c r="AN140" i="119"/>
  <c r="AM140" i="119"/>
  <c r="AG140" i="119"/>
  <c r="AE140" i="119"/>
  <c r="Z140" i="119"/>
  <c r="AO139" i="119"/>
  <c r="AN139" i="119"/>
  <c r="AM139" i="119"/>
  <c r="AG139" i="119"/>
  <c r="AE139" i="119"/>
  <c r="Z139" i="119"/>
  <c r="AO138" i="119"/>
  <c r="AN138" i="119"/>
  <c r="AM138" i="119"/>
  <c r="AG138" i="119"/>
  <c r="AE138" i="119"/>
  <c r="Z138" i="119"/>
  <c r="AO137" i="119"/>
  <c r="AN137" i="119"/>
  <c r="AM137" i="119"/>
  <c r="AG137" i="119"/>
  <c r="AE137" i="119"/>
  <c r="Z137" i="119"/>
  <c r="AO136" i="119"/>
  <c r="AN136" i="119"/>
  <c r="AM136" i="119"/>
  <c r="AG136" i="119"/>
  <c r="AE136" i="119"/>
  <c r="Z136" i="119"/>
  <c r="AO135" i="119"/>
  <c r="AN135" i="119"/>
  <c r="AM135" i="119"/>
  <c r="AG135" i="119"/>
  <c r="AE135" i="119"/>
  <c r="Z135" i="119"/>
  <c r="AO134" i="119"/>
  <c r="AN134" i="119"/>
  <c r="AM134" i="119"/>
  <c r="AG134" i="119"/>
  <c r="AE134" i="119"/>
  <c r="Z134" i="119"/>
  <c r="AO133" i="119"/>
  <c r="AN133" i="119"/>
  <c r="AM133" i="119"/>
  <c r="AG133" i="119"/>
  <c r="AE133" i="119"/>
  <c r="Z133" i="119"/>
  <c r="AO132" i="119"/>
  <c r="AN132" i="119"/>
  <c r="AM132" i="119"/>
  <c r="AG132" i="119"/>
  <c r="AE132" i="119"/>
  <c r="Z132" i="119"/>
  <c r="AO131" i="119"/>
  <c r="AN131" i="119"/>
  <c r="AM131" i="119"/>
  <c r="AG131" i="119"/>
  <c r="AE131" i="119"/>
  <c r="Z131" i="119"/>
  <c r="AO130" i="119"/>
  <c r="AN130" i="119"/>
  <c r="AM130" i="119"/>
  <c r="AG130" i="119"/>
  <c r="AE130" i="119"/>
  <c r="Z130" i="119"/>
  <c r="AO129" i="119"/>
  <c r="AN129" i="119"/>
  <c r="AM129" i="119"/>
  <c r="AG129" i="119"/>
  <c r="AE129" i="119"/>
  <c r="Z129" i="119"/>
  <c r="AO128" i="119"/>
  <c r="AN128" i="119"/>
  <c r="AM128" i="119"/>
  <c r="AG128" i="119"/>
  <c r="AE128" i="119"/>
  <c r="Z128" i="119"/>
  <c r="AO127" i="119"/>
  <c r="AN127" i="119"/>
  <c r="AM127" i="119"/>
  <c r="AG127" i="119"/>
  <c r="AE127" i="119"/>
  <c r="Z127" i="119"/>
  <c r="AO126" i="119"/>
  <c r="AN126" i="119"/>
  <c r="AM126" i="119"/>
  <c r="AG126" i="119"/>
  <c r="AE126" i="119"/>
  <c r="Z126" i="119"/>
  <c r="AO125" i="119"/>
  <c r="AN125" i="119"/>
  <c r="AM125" i="119"/>
  <c r="AG125" i="119"/>
  <c r="AE125" i="119"/>
  <c r="Z125" i="119"/>
  <c r="AO124" i="119"/>
  <c r="AN124" i="119"/>
  <c r="AM124" i="119"/>
  <c r="AG124" i="119"/>
  <c r="AE124" i="119"/>
  <c r="Z124" i="119"/>
  <c r="AO123" i="119"/>
  <c r="AN123" i="119"/>
  <c r="AM123" i="119"/>
  <c r="AG123" i="119"/>
  <c r="AE123" i="119"/>
  <c r="Z123" i="119"/>
  <c r="AO122" i="119"/>
  <c r="AN122" i="119"/>
  <c r="AM122" i="119"/>
  <c r="AG122" i="119"/>
  <c r="AE122" i="119"/>
  <c r="Z122" i="119"/>
  <c r="AO121" i="119"/>
  <c r="AN121" i="119"/>
  <c r="AM121" i="119"/>
  <c r="AG121" i="119"/>
  <c r="AE121" i="119"/>
  <c r="Z121" i="119"/>
  <c r="AO120" i="119"/>
  <c r="AN120" i="119"/>
  <c r="AM120" i="119"/>
  <c r="AG120" i="119"/>
  <c r="AE120" i="119"/>
  <c r="Z120" i="119"/>
  <c r="AO119" i="119"/>
  <c r="AN119" i="119"/>
  <c r="AM119" i="119"/>
  <c r="AG119" i="119"/>
  <c r="AE119" i="119"/>
  <c r="Z119" i="119"/>
  <c r="AO118" i="119"/>
  <c r="AN118" i="119"/>
  <c r="AM118" i="119"/>
  <c r="AG118" i="119"/>
  <c r="AE118" i="119"/>
  <c r="Z118" i="119"/>
  <c r="AO117" i="119"/>
  <c r="AN117" i="119"/>
  <c r="AM117" i="119"/>
  <c r="AG117" i="119"/>
  <c r="AE117" i="119"/>
  <c r="Z117" i="119"/>
  <c r="AO116" i="119"/>
  <c r="AN116" i="119"/>
  <c r="AM116" i="119"/>
  <c r="AG116" i="119"/>
  <c r="AE116" i="119"/>
  <c r="Z116" i="119"/>
  <c r="AO115" i="119"/>
  <c r="AN115" i="119"/>
  <c r="AM115" i="119"/>
  <c r="AG115" i="119"/>
  <c r="AE115" i="119"/>
  <c r="Z115" i="119"/>
  <c r="AO114" i="119"/>
  <c r="AN114" i="119"/>
  <c r="AM114" i="119"/>
  <c r="AG114" i="119"/>
  <c r="AE114" i="119"/>
  <c r="Z114" i="119"/>
  <c r="AO113" i="119"/>
  <c r="AN113" i="119"/>
  <c r="AM113" i="119"/>
  <c r="AG113" i="119"/>
  <c r="AE113" i="119"/>
  <c r="Z113" i="119"/>
  <c r="AO112" i="119"/>
  <c r="AN112" i="119"/>
  <c r="AM112" i="119"/>
  <c r="AG112" i="119"/>
  <c r="AE112" i="119"/>
  <c r="Z112" i="119"/>
  <c r="AO111" i="119"/>
  <c r="AN111" i="119"/>
  <c r="AM111" i="119"/>
  <c r="AG111" i="119"/>
  <c r="AE111" i="119"/>
  <c r="Z111" i="119"/>
  <c r="AO110" i="119"/>
  <c r="AN110" i="119"/>
  <c r="AM110" i="119"/>
  <c r="AG110" i="119"/>
  <c r="AE110" i="119"/>
  <c r="Z110" i="119"/>
  <c r="AO109" i="119"/>
  <c r="AN109" i="119"/>
  <c r="AM109" i="119"/>
  <c r="AG109" i="119"/>
  <c r="AE109" i="119"/>
  <c r="Z109" i="119"/>
  <c r="AO108" i="119"/>
  <c r="AN108" i="119"/>
  <c r="AM108" i="119"/>
  <c r="AG108" i="119"/>
  <c r="AE108" i="119"/>
  <c r="Z108" i="119"/>
  <c r="AO107" i="119"/>
  <c r="AN107" i="119"/>
  <c r="AM107" i="119"/>
  <c r="AG107" i="119"/>
  <c r="AE107" i="119"/>
  <c r="Z107" i="119"/>
  <c r="AO106" i="119"/>
  <c r="AN106" i="119"/>
  <c r="AM106" i="119"/>
  <c r="AG106" i="119"/>
  <c r="AE106" i="119"/>
  <c r="Z106" i="119"/>
  <c r="AO105" i="119"/>
  <c r="AN105" i="119"/>
  <c r="AM105" i="119"/>
  <c r="AG105" i="119"/>
  <c r="AE105" i="119"/>
  <c r="Z105" i="119"/>
  <c r="AO104" i="119"/>
  <c r="AN104" i="119"/>
  <c r="AM104" i="119"/>
  <c r="AG104" i="119"/>
  <c r="AE104" i="119"/>
  <c r="Z104" i="119"/>
  <c r="AO103" i="119"/>
  <c r="AN103" i="119"/>
  <c r="AM103" i="119"/>
  <c r="AG103" i="119"/>
  <c r="AE103" i="119"/>
  <c r="Z103" i="119"/>
  <c r="AO102" i="119"/>
  <c r="AN102" i="119"/>
  <c r="AM102" i="119"/>
  <c r="AG102" i="119"/>
  <c r="AE102" i="119"/>
  <c r="Z102" i="119"/>
  <c r="AO101" i="119"/>
  <c r="AN101" i="119"/>
  <c r="AM101" i="119"/>
  <c r="AG101" i="119"/>
  <c r="AE101" i="119"/>
  <c r="Z101" i="119"/>
  <c r="AO100" i="119"/>
  <c r="AN100" i="119"/>
  <c r="AM100" i="119"/>
  <c r="AG100" i="119"/>
  <c r="AE100" i="119"/>
  <c r="Z100" i="119"/>
  <c r="AO99" i="119"/>
  <c r="AN99" i="119"/>
  <c r="AM99" i="119"/>
  <c r="AG99" i="119"/>
  <c r="AE99" i="119"/>
  <c r="Z99" i="119"/>
  <c r="AO98" i="119"/>
  <c r="AN98" i="119"/>
  <c r="AM98" i="119"/>
  <c r="AG98" i="119"/>
  <c r="AE98" i="119"/>
  <c r="Z98" i="119"/>
  <c r="AO97" i="119"/>
  <c r="AN97" i="119"/>
  <c r="AM97" i="119"/>
  <c r="AG97" i="119"/>
  <c r="AE97" i="119"/>
  <c r="Z97" i="119"/>
  <c r="AO96" i="119"/>
  <c r="AN96" i="119"/>
  <c r="AM96" i="119"/>
  <c r="AG96" i="119"/>
  <c r="AE96" i="119"/>
  <c r="Z96" i="119"/>
  <c r="AO95" i="119"/>
  <c r="AN95" i="119"/>
  <c r="AM95" i="119"/>
  <c r="AG95" i="119"/>
  <c r="AE95" i="119"/>
  <c r="Z95" i="119"/>
  <c r="AO94" i="119"/>
  <c r="AN94" i="119"/>
  <c r="AM94" i="119"/>
  <c r="AG94" i="119"/>
  <c r="AE94" i="119"/>
  <c r="Z94" i="119"/>
  <c r="AO93" i="119"/>
  <c r="AN93" i="119"/>
  <c r="AM93" i="119"/>
  <c r="AG93" i="119"/>
  <c r="AE93" i="119"/>
  <c r="Z93" i="119"/>
  <c r="AO92" i="119"/>
  <c r="AN92" i="119"/>
  <c r="AM92" i="119"/>
  <c r="AG92" i="119"/>
  <c r="AE92" i="119"/>
  <c r="Z92" i="119"/>
  <c r="AO91" i="119"/>
  <c r="AN91" i="119"/>
  <c r="AM91" i="119"/>
  <c r="AG91" i="119"/>
  <c r="AE91" i="119"/>
  <c r="Z91" i="119"/>
  <c r="AO90" i="119"/>
  <c r="AN90" i="119"/>
  <c r="AM90" i="119"/>
  <c r="AG90" i="119"/>
  <c r="AE90" i="119"/>
  <c r="Z90" i="119"/>
  <c r="AO89" i="119"/>
  <c r="AN89" i="119"/>
  <c r="AM89" i="119"/>
  <c r="AG89" i="119"/>
  <c r="AE89" i="119"/>
  <c r="Z89" i="119"/>
  <c r="AO88" i="119"/>
  <c r="AN88" i="119"/>
  <c r="AM88" i="119"/>
  <c r="AG88" i="119"/>
  <c r="AE88" i="119"/>
  <c r="Z88" i="119"/>
  <c r="AO87" i="119"/>
  <c r="AN87" i="119"/>
  <c r="AM87" i="119"/>
  <c r="AG87" i="119"/>
  <c r="AE87" i="119"/>
  <c r="Z87" i="119"/>
  <c r="AO86" i="119"/>
  <c r="AN86" i="119"/>
  <c r="AM86" i="119"/>
  <c r="AG86" i="119"/>
  <c r="AE86" i="119"/>
  <c r="Z86" i="119"/>
  <c r="AO85" i="119"/>
  <c r="AN85" i="119"/>
  <c r="AM85" i="119"/>
  <c r="AG85" i="119"/>
  <c r="AE85" i="119"/>
  <c r="Z85" i="119"/>
  <c r="AO84" i="119"/>
  <c r="AN84" i="119"/>
  <c r="AM84" i="119"/>
  <c r="AG84" i="119"/>
  <c r="AE84" i="119"/>
  <c r="Z84" i="119"/>
  <c r="AO83" i="119"/>
  <c r="AN83" i="119"/>
  <c r="AM83" i="119"/>
  <c r="AG83" i="119"/>
  <c r="AE83" i="119"/>
  <c r="Z83" i="119"/>
  <c r="AO82" i="119"/>
  <c r="AN82" i="119"/>
  <c r="AM82" i="119"/>
  <c r="AG82" i="119"/>
  <c r="AE82" i="119"/>
  <c r="Z82" i="119"/>
  <c r="AO81" i="119"/>
  <c r="AN81" i="119"/>
  <c r="AM81" i="119"/>
  <c r="AG81" i="119"/>
  <c r="AE81" i="119"/>
  <c r="Z81" i="119"/>
  <c r="AO80" i="119"/>
  <c r="AN80" i="119"/>
  <c r="AM80" i="119"/>
  <c r="AG80" i="119"/>
  <c r="AE80" i="119"/>
  <c r="Z80" i="119"/>
  <c r="AO79" i="119"/>
  <c r="AN79" i="119"/>
  <c r="AM79" i="119"/>
  <c r="AG79" i="119"/>
  <c r="AE79" i="119"/>
  <c r="Z79" i="119"/>
  <c r="AO78" i="119"/>
  <c r="AN78" i="119"/>
  <c r="AM78" i="119"/>
  <c r="AG78" i="119"/>
  <c r="AE78" i="119"/>
  <c r="Z78" i="119"/>
  <c r="AO77" i="119"/>
  <c r="AN77" i="119"/>
  <c r="AM77" i="119"/>
  <c r="AG77" i="119"/>
  <c r="AE77" i="119"/>
  <c r="Z77" i="119"/>
  <c r="AO76" i="119"/>
  <c r="AN76" i="119"/>
  <c r="AM76" i="119"/>
  <c r="AG76" i="119"/>
  <c r="AE76" i="119"/>
  <c r="Z76" i="119"/>
  <c r="AO75" i="119"/>
  <c r="AN75" i="119"/>
  <c r="AM75" i="119"/>
  <c r="AG75" i="119"/>
  <c r="AE75" i="119"/>
  <c r="Z75" i="119"/>
  <c r="AO74" i="119"/>
  <c r="AN74" i="119"/>
  <c r="AM74" i="119"/>
  <c r="AG74" i="119"/>
  <c r="AE74" i="119"/>
  <c r="Z74" i="119"/>
  <c r="AO73" i="119"/>
  <c r="AN73" i="119"/>
  <c r="AM73" i="119"/>
  <c r="AG73" i="119"/>
  <c r="AE73" i="119"/>
  <c r="Z73" i="119"/>
  <c r="AO72" i="119"/>
  <c r="AN72" i="119"/>
  <c r="AM72" i="119"/>
  <c r="AG72" i="119"/>
  <c r="AE72" i="119"/>
  <c r="Z72" i="119"/>
  <c r="AO71" i="119"/>
  <c r="AN71" i="119"/>
  <c r="AM71" i="119"/>
  <c r="AG71" i="119"/>
  <c r="AE71" i="119"/>
  <c r="Z71" i="119"/>
  <c r="AO70" i="119"/>
  <c r="AN70" i="119"/>
  <c r="AM70" i="119"/>
  <c r="AG70" i="119"/>
  <c r="AE70" i="119"/>
  <c r="Z70" i="119"/>
  <c r="AO69" i="119"/>
  <c r="AN69" i="119"/>
  <c r="AM69" i="119"/>
  <c r="AG69" i="119"/>
  <c r="AE69" i="119"/>
  <c r="Z69" i="119"/>
  <c r="AO68" i="119"/>
  <c r="AN68" i="119"/>
  <c r="AM68" i="119"/>
  <c r="AG68" i="119"/>
  <c r="AE68" i="119"/>
  <c r="Z68" i="119"/>
  <c r="AO67" i="119"/>
  <c r="AN67" i="119"/>
  <c r="AM67" i="119"/>
  <c r="AG67" i="119"/>
  <c r="AE67" i="119"/>
  <c r="Z67" i="119"/>
  <c r="AO66" i="119"/>
  <c r="AN66" i="119"/>
  <c r="AM66" i="119"/>
  <c r="AG66" i="119"/>
  <c r="AE66" i="119"/>
  <c r="Z66" i="119"/>
  <c r="AO65" i="119"/>
  <c r="AN65" i="119"/>
  <c r="AM65" i="119"/>
  <c r="AG65" i="119"/>
  <c r="AE65" i="119"/>
  <c r="Z65" i="119"/>
  <c r="AO64" i="119"/>
  <c r="AN64" i="119"/>
  <c r="AM64" i="119"/>
  <c r="AG64" i="119"/>
  <c r="AE64" i="119"/>
  <c r="Z64" i="119"/>
  <c r="AO63" i="119"/>
  <c r="AN63" i="119"/>
  <c r="AM63" i="119"/>
  <c r="AG63" i="119"/>
  <c r="AE63" i="119"/>
  <c r="Z63" i="119"/>
  <c r="AO62" i="119"/>
  <c r="AN62" i="119"/>
  <c r="AM62" i="119"/>
  <c r="AG62" i="119"/>
  <c r="AE62" i="119"/>
  <c r="Z62" i="119"/>
  <c r="AO61" i="119"/>
  <c r="AN61" i="119"/>
  <c r="AM61" i="119"/>
  <c r="AG61" i="119"/>
  <c r="AE61" i="119"/>
  <c r="Z61" i="119"/>
  <c r="AO60" i="119"/>
  <c r="AN60" i="119"/>
  <c r="AM60" i="119"/>
  <c r="AG60" i="119"/>
  <c r="AE60" i="119"/>
  <c r="Z60" i="119"/>
  <c r="AO59" i="119"/>
  <c r="AN59" i="119"/>
  <c r="AM59" i="119"/>
  <c r="AG59" i="119"/>
  <c r="AE59" i="119"/>
  <c r="Z59" i="119"/>
  <c r="AO58" i="119"/>
  <c r="AN58" i="119"/>
  <c r="AM58" i="119"/>
  <c r="AG58" i="119"/>
  <c r="AE58" i="119"/>
  <c r="Z58" i="119"/>
  <c r="AO57" i="119"/>
  <c r="AN57" i="119"/>
  <c r="AM57" i="119"/>
  <c r="AG57" i="119"/>
  <c r="AE57" i="119"/>
  <c r="Z57" i="119"/>
  <c r="AO56" i="119"/>
  <c r="AN56" i="119"/>
  <c r="AM56" i="119"/>
  <c r="AG56" i="119"/>
  <c r="AE56" i="119"/>
  <c r="Z56" i="119"/>
  <c r="AO55" i="119"/>
  <c r="AN55" i="119"/>
  <c r="AM55" i="119"/>
  <c r="AG55" i="119"/>
  <c r="AE55" i="119"/>
  <c r="Z55" i="119"/>
  <c r="AO54" i="119"/>
  <c r="AN54" i="119"/>
  <c r="AM54" i="119"/>
  <c r="AG54" i="119"/>
  <c r="AE54" i="119"/>
  <c r="Z54" i="119"/>
  <c r="AO53" i="119"/>
  <c r="AN53" i="119"/>
  <c r="AM53" i="119"/>
  <c r="AG53" i="119"/>
  <c r="AE53" i="119"/>
  <c r="Z53" i="119"/>
  <c r="AO52" i="119"/>
  <c r="AN52" i="119"/>
  <c r="AM52" i="119"/>
  <c r="AG52" i="119"/>
  <c r="AE52" i="119"/>
  <c r="Z52" i="119"/>
  <c r="AO51" i="119"/>
  <c r="AN51" i="119"/>
  <c r="AM51" i="119"/>
  <c r="AG51" i="119"/>
  <c r="AE51" i="119"/>
  <c r="Z51" i="119"/>
  <c r="AO50" i="119"/>
  <c r="AN50" i="119"/>
  <c r="AM50" i="119"/>
  <c r="AG50" i="119"/>
  <c r="AE50" i="119"/>
  <c r="Z50" i="119"/>
  <c r="AO49" i="119"/>
  <c r="AN49" i="119"/>
  <c r="AM49" i="119"/>
  <c r="AG49" i="119"/>
  <c r="AE49" i="119"/>
  <c r="Z49" i="119"/>
  <c r="AO48" i="119"/>
  <c r="AN48" i="119"/>
  <c r="AM48" i="119"/>
  <c r="AG48" i="119"/>
  <c r="AE48" i="119"/>
  <c r="Z48" i="119"/>
  <c r="AO47" i="119"/>
  <c r="AN47" i="119"/>
  <c r="AM47" i="119"/>
  <c r="AG47" i="119"/>
  <c r="AE47" i="119"/>
  <c r="Z47" i="119"/>
  <c r="AO46" i="119"/>
  <c r="AN46" i="119"/>
  <c r="AM46" i="119"/>
  <c r="AG46" i="119"/>
  <c r="AE46" i="119"/>
  <c r="Z46" i="119"/>
  <c r="AO45" i="119"/>
  <c r="AN45" i="119"/>
  <c r="AM45" i="119"/>
  <c r="AG45" i="119"/>
  <c r="AE45" i="119"/>
  <c r="Z45" i="119"/>
  <c r="AO44" i="119"/>
  <c r="AN44" i="119"/>
  <c r="AM44" i="119"/>
  <c r="AG44" i="119"/>
  <c r="AE44" i="119"/>
  <c r="Z44" i="119"/>
  <c r="AO43" i="119"/>
  <c r="AN43" i="119"/>
  <c r="AM43" i="119"/>
  <c r="AG43" i="119"/>
  <c r="AE43" i="119"/>
  <c r="Z43" i="119"/>
  <c r="AO42" i="119"/>
  <c r="AN42" i="119"/>
  <c r="AM42" i="119"/>
  <c r="AG42" i="119"/>
  <c r="AE42" i="119"/>
  <c r="Z42" i="119"/>
  <c r="AO41" i="119"/>
  <c r="AN41" i="119"/>
  <c r="AM41" i="119"/>
  <c r="AG41" i="119"/>
  <c r="AE41" i="119"/>
  <c r="Z41" i="119"/>
  <c r="AO40" i="119"/>
  <c r="AN40" i="119"/>
  <c r="AM40" i="119"/>
  <c r="AG40" i="119"/>
  <c r="AE40" i="119"/>
  <c r="Z40" i="119"/>
  <c r="AO39" i="119"/>
  <c r="AN39" i="119"/>
  <c r="AM39" i="119"/>
  <c r="AG39" i="119"/>
  <c r="AE39" i="119"/>
  <c r="Z39" i="119"/>
  <c r="AO38" i="119"/>
  <c r="AN38" i="119"/>
  <c r="AM38" i="119"/>
  <c r="AG38" i="119"/>
  <c r="AE38" i="119"/>
  <c r="Z38" i="119"/>
  <c r="AO37" i="119"/>
  <c r="AN37" i="119"/>
  <c r="AM37" i="119"/>
  <c r="AG37" i="119"/>
  <c r="AE37" i="119"/>
  <c r="Z37" i="119"/>
  <c r="AO36" i="119"/>
  <c r="AN36" i="119"/>
  <c r="AM36" i="119"/>
  <c r="AG36" i="119"/>
  <c r="AE36" i="119"/>
  <c r="Z36" i="119"/>
  <c r="AO35" i="119"/>
  <c r="AN35" i="119"/>
  <c r="AM35" i="119"/>
  <c r="AG35" i="119"/>
  <c r="AE35" i="119"/>
  <c r="Z35" i="119"/>
  <c r="AO34" i="119"/>
  <c r="AN34" i="119"/>
  <c r="AM34" i="119"/>
  <c r="AG34" i="119"/>
  <c r="AE34" i="119"/>
  <c r="Z34" i="119"/>
  <c r="AO33" i="119"/>
  <c r="AN33" i="119"/>
  <c r="AM33" i="119"/>
  <c r="AG33" i="119"/>
  <c r="AE33" i="119"/>
  <c r="Z33" i="119"/>
  <c r="AO32" i="119"/>
  <c r="AN32" i="119"/>
  <c r="AM32" i="119"/>
  <c r="AG32" i="119"/>
  <c r="AE32" i="119"/>
  <c r="Z32" i="119"/>
  <c r="AO31" i="119"/>
  <c r="AN31" i="119"/>
  <c r="AM31" i="119"/>
  <c r="AG31" i="119"/>
  <c r="AE31" i="119"/>
  <c r="Z31" i="119"/>
  <c r="AO30" i="119"/>
  <c r="AN30" i="119"/>
  <c r="AM30" i="119"/>
  <c r="AG30" i="119"/>
  <c r="AE30" i="119"/>
  <c r="Z30" i="119"/>
  <c r="AO29" i="119"/>
  <c r="AN29" i="119"/>
  <c r="AM29" i="119"/>
  <c r="AG29" i="119"/>
  <c r="AE29" i="119"/>
  <c r="Z29" i="119"/>
  <c r="AO28" i="119"/>
  <c r="AN28" i="119"/>
  <c r="AM28" i="119"/>
  <c r="AG28" i="119"/>
  <c r="AE28" i="119"/>
  <c r="Z28" i="119"/>
  <c r="AO27" i="119"/>
  <c r="AN27" i="119"/>
  <c r="AM27" i="119"/>
  <c r="AG27" i="119"/>
  <c r="AE27" i="119"/>
  <c r="Z27" i="119"/>
  <c r="AO26" i="119"/>
  <c r="AN26" i="119"/>
  <c r="AM26" i="119"/>
  <c r="AG26" i="119"/>
  <c r="AE26" i="119"/>
  <c r="Z26" i="119"/>
  <c r="AO25" i="119"/>
  <c r="AN25" i="119"/>
  <c r="AM25" i="119"/>
  <c r="AG25" i="119"/>
  <c r="AE25" i="119"/>
  <c r="Z25" i="119"/>
  <c r="AO24" i="119"/>
  <c r="AN24" i="119"/>
  <c r="AM24" i="119"/>
  <c r="AG24" i="119"/>
  <c r="AE24" i="119"/>
  <c r="Z24" i="119"/>
  <c r="AO23" i="119"/>
  <c r="AN23" i="119"/>
  <c r="AM23" i="119"/>
  <c r="AG23" i="119"/>
  <c r="AE23" i="119"/>
  <c r="Z23" i="119"/>
  <c r="AO22" i="119"/>
  <c r="AN22" i="119"/>
  <c r="AM22" i="119"/>
  <c r="AG22" i="119"/>
  <c r="AE22" i="119"/>
  <c r="Z22" i="119"/>
  <c r="AO21" i="119"/>
  <c r="AN21" i="119"/>
  <c r="AM21" i="119"/>
  <c r="AG21" i="119"/>
  <c r="AE21" i="119"/>
  <c r="Z21" i="119"/>
  <c r="AO20" i="119"/>
  <c r="AN20" i="119"/>
  <c r="AM20" i="119"/>
  <c r="AG20" i="119"/>
  <c r="AE20" i="119"/>
  <c r="Z20" i="119"/>
  <c r="AO19" i="119"/>
  <c r="AN19" i="119"/>
  <c r="AM19" i="119"/>
  <c r="AG19" i="119"/>
  <c r="AE19" i="119"/>
  <c r="Z19" i="119"/>
  <c r="AO18" i="119"/>
  <c r="AN18" i="119"/>
  <c r="AM18" i="119"/>
  <c r="AG18" i="119"/>
  <c r="AE18" i="119"/>
  <c r="Z18" i="119"/>
  <c r="AO17" i="119"/>
  <c r="AN17" i="119"/>
  <c r="AM17" i="119"/>
  <c r="AG17" i="119"/>
  <c r="AE17" i="119"/>
  <c r="Z17" i="119"/>
  <c r="AO16" i="119"/>
  <c r="AN16" i="119"/>
  <c r="AM16" i="119"/>
  <c r="AG16" i="119"/>
  <c r="AE16" i="119"/>
  <c r="Z16" i="119"/>
  <c r="AO15" i="119"/>
  <c r="AN15" i="119"/>
  <c r="AM15" i="119"/>
  <c r="AG15" i="119"/>
  <c r="AE15" i="119"/>
  <c r="Z15" i="119"/>
  <c r="AO14" i="119"/>
  <c r="AN14" i="119"/>
  <c r="AM14" i="119"/>
  <c r="AG14" i="119"/>
  <c r="AE14" i="119"/>
  <c r="Z14" i="119"/>
  <c r="AO13" i="119"/>
  <c r="AN13" i="119"/>
  <c r="AM13" i="119"/>
  <c r="AG13" i="119"/>
  <c r="AE13" i="119"/>
  <c r="Z13" i="119"/>
  <c r="AO12" i="119"/>
  <c r="AN12" i="119"/>
  <c r="AM12" i="119"/>
  <c r="AG12" i="119"/>
  <c r="AE12" i="119"/>
  <c r="Z12" i="119"/>
  <c r="AO11" i="119"/>
  <c r="AN11" i="119"/>
  <c r="AM11" i="119"/>
  <c r="AG11" i="119"/>
  <c r="AE11" i="119"/>
  <c r="Z11" i="119"/>
  <c r="AO10" i="119"/>
  <c r="AN10" i="119"/>
  <c r="AM10" i="119"/>
  <c r="AG10" i="119"/>
  <c r="AE10" i="119"/>
  <c r="Z10" i="119"/>
  <c r="AO9" i="119"/>
  <c r="AN9" i="119"/>
  <c r="AM9" i="119"/>
  <c r="AG9" i="119"/>
  <c r="AE9" i="119"/>
  <c r="Z9" i="119"/>
  <c r="AO8" i="119"/>
  <c r="AN8" i="119"/>
  <c r="AM8" i="119"/>
  <c r="AG8" i="119"/>
  <c r="AE8" i="119"/>
  <c r="Z8" i="119"/>
  <c r="AO7" i="119"/>
  <c r="AN7" i="119"/>
  <c r="AM7" i="119"/>
  <c r="AG7" i="119"/>
  <c r="AE7" i="119"/>
  <c r="Z7" i="119"/>
  <c r="AO6" i="119"/>
  <c r="AN6" i="119"/>
  <c r="AM6" i="119"/>
  <c r="AG6" i="119"/>
  <c r="AE6" i="119"/>
  <c r="Z6" i="119"/>
  <c r="A6" i="119"/>
  <c r="AO5" i="119"/>
  <c r="AN5" i="119"/>
  <c r="AM5" i="119"/>
  <c r="AG5" i="119"/>
  <c r="AE5" i="119"/>
  <c r="Z5" i="119"/>
  <c r="AI2" i="119"/>
  <c r="H2" i="119"/>
  <c r="AB2" i="119"/>
  <c r="AA2" i="119"/>
  <c r="Z2" i="119"/>
  <c r="V2" i="119"/>
  <c r="E2" i="119"/>
  <c r="U2" i="119"/>
  <c r="T2" i="119"/>
  <c r="O2" i="119"/>
  <c r="B2" i="119"/>
  <c r="AM11" i="120"/>
  <c r="AM32" i="120"/>
  <c r="AP5" i="119"/>
  <c r="AQ5" i="119"/>
  <c r="A7" i="119"/>
  <c r="A2" i="119"/>
  <c r="C2" i="119"/>
  <c r="AQ6" i="119"/>
  <c r="AP6" i="119"/>
  <c r="A8" i="119"/>
  <c r="AP8" i="119"/>
  <c r="AQ7" i="119"/>
  <c r="AP7" i="119"/>
  <c r="AK709" i="119"/>
  <c r="AK476" i="119"/>
  <c r="AK622" i="119"/>
  <c r="AK347" i="119"/>
  <c r="AK539" i="119"/>
  <c r="AK236" i="119"/>
  <c r="AK437" i="119"/>
  <c r="AK106" i="119"/>
  <c r="AK398" i="119"/>
  <c r="AK557" i="119"/>
  <c r="AK591" i="119"/>
  <c r="AK470" i="119"/>
  <c r="AK323" i="119"/>
  <c r="AK767" i="119"/>
  <c r="AK584" i="119"/>
  <c r="AK356" i="119"/>
  <c r="AK313" i="119"/>
  <c r="AK215" i="119"/>
  <c r="AK93" i="119"/>
  <c r="AK126" i="119"/>
  <c r="AK94" i="119"/>
  <c r="AK257" i="119"/>
  <c r="AK521" i="119"/>
  <c r="AK146" i="119"/>
  <c r="AK168" i="119"/>
  <c r="AK489" i="119"/>
  <c r="AO269" i="120"/>
  <c r="AN60" i="120"/>
  <c r="AK781" i="119"/>
  <c r="AK628" i="119"/>
  <c r="AP415" i="120"/>
  <c r="AO304" i="120"/>
  <c r="AO124" i="120"/>
  <c r="AK197" i="119"/>
  <c r="AP271" i="120"/>
  <c r="AO98" i="120"/>
  <c r="AK422" i="119"/>
  <c r="AP266" i="120"/>
  <c r="AK47" i="119"/>
  <c r="AL112" i="120"/>
  <c r="AK340" i="119"/>
  <c r="AN362" i="120"/>
  <c r="AL131" i="120"/>
  <c r="AP321" i="120"/>
  <c r="AN426" i="120"/>
  <c r="AN481" i="120"/>
  <c r="AK192" i="119"/>
  <c r="AP117" i="120"/>
  <c r="AO463" i="120"/>
  <c r="AK100" i="119"/>
  <c r="AO322" i="120"/>
  <c r="AO249" i="120"/>
  <c r="AK683" i="119"/>
  <c r="AP141" i="120"/>
  <c r="AK380" i="119"/>
  <c r="AN430" i="120"/>
  <c r="AL14" i="120"/>
  <c r="AL356" i="120"/>
  <c r="AN59" i="120"/>
  <c r="AO384" i="120"/>
  <c r="AO238" i="120"/>
  <c r="AL13" i="120"/>
  <c r="AN223" i="120"/>
  <c r="AO245" i="120"/>
  <c r="AO229" i="120"/>
  <c r="AL22" i="120"/>
  <c r="AL347" i="120"/>
  <c r="AO129" i="120"/>
  <c r="AN462" i="120"/>
  <c r="AN261" i="120"/>
  <c r="AK560" i="119"/>
  <c r="AP67" i="120"/>
  <c r="AP362" i="120"/>
  <c r="AO182" i="120"/>
  <c r="AO479" i="120"/>
  <c r="AK649" i="119"/>
  <c r="AN469" i="120"/>
  <c r="AN201" i="120"/>
  <c r="AK528" i="119"/>
  <c r="AO262" i="120"/>
  <c r="AK611" i="119"/>
  <c r="AN234" i="120"/>
  <c r="AL428" i="120"/>
  <c r="AL72" i="120"/>
  <c r="AN89" i="120"/>
  <c r="AL259" i="120"/>
  <c r="AL432" i="120"/>
  <c r="AO258" i="120"/>
  <c r="AL400" i="120"/>
  <c r="AN197" i="120"/>
  <c r="AO296" i="120"/>
  <c r="AK751" i="119"/>
  <c r="AL147" i="120"/>
  <c r="AO320" i="120"/>
  <c r="AP213" i="120"/>
  <c r="AP155" i="120"/>
  <c r="AK159" i="119"/>
  <c r="AP409" i="120"/>
  <c r="AN286" i="120"/>
  <c r="AL127" i="120"/>
  <c r="AK508" i="119"/>
  <c r="AP107" i="120"/>
  <c r="AL490" i="120"/>
  <c r="AP178" i="120"/>
  <c r="AN194" i="120"/>
  <c r="AP473" i="120"/>
  <c r="AK551" i="119"/>
  <c r="AL198" i="120"/>
  <c r="AO108" i="120"/>
  <c r="AN479" i="120"/>
  <c r="AO352" i="120"/>
  <c r="AN75" i="120"/>
  <c r="AP211" i="120"/>
  <c r="AK420" i="119"/>
  <c r="AL485" i="120"/>
  <c r="AK605" i="119"/>
  <c r="AN202" i="120"/>
  <c r="AK382" i="119"/>
  <c r="AK147" i="119"/>
  <c r="AO110" i="120"/>
  <c r="AP63" i="120"/>
  <c r="AN28" i="120"/>
  <c r="AN73" i="120"/>
  <c r="AK459" i="119"/>
  <c r="AP348" i="120"/>
  <c r="AP143" i="120"/>
  <c r="AP284" i="120"/>
  <c r="AL213" i="120"/>
  <c r="AK788" i="119"/>
  <c r="AL177" i="120"/>
  <c r="AN423" i="120"/>
  <c r="AO139" i="120"/>
  <c r="AP355" i="120"/>
  <c r="AK409" i="119"/>
  <c r="AN435" i="120"/>
  <c r="AO482" i="120"/>
  <c r="AK360" i="119"/>
  <c r="AN39" i="120"/>
  <c r="AP397" i="120"/>
  <c r="AL178" i="120"/>
  <c r="AO178" i="120"/>
  <c r="AO391" i="120"/>
  <c r="AP301" i="120"/>
  <c r="AP60" i="120"/>
  <c r="AK509" i="119"/>
  <c r="AK723" i="119"/>
  <c r="AK26" i="119"/>
  <c r="AK120" i="119"/>
  <c r="AN369" i="120"/>
  <c r="AN85" i="120"/>
  <c r="AL329" i="120"/>
  <c r="AL134" i="120"/>
  <c r="AK587" i="119"/>
  <c r="AK483" i="119"/>
  <c r="AK87" i="119"/>
  <c r="AK40" i="119"/>
  <c r="AN58" i="120"/>
  <c r="AO141" i="120"/>
  <c r="AO284" i="120"/>
  <c r="AK730" i="119"/>
  <c r="AK696" i="119"/>
  <c r="AO166" i="120"/>
  <c r="AK506" i="119"/>
  <c r="AK122" i="119"/>
  <c r="AK350" i="119"/>
  <c r="AP462" i="120"/>
  <c r="AP58" i="120"/>
  <c r="AK768" i="119"/>
  <c r="AK224" i="119"/>
  <c r="AP283" i="120"/>
  <c r="AK686" i="119"/>
  <c r="AO246" i="120"/>
  <c r="AK50" i="119"/>
  <c r="AK154" i="119"/>
  <c r="AK148" i="119"/>
  <c r="AK457" i="119"/>
  <c r="AK608" i="119"/>
  <c r="AN277" i="120"/>
  <c r="AK736" i="119"/>
  <c r="AK465" i="119"/>
  <c r="AL144" i="120"/>
  <c r="AK239" i="119"/>
  <c r="AK631" i="119"/>
  <c r="AK8" i="119"/>
  <c r="AK150" i="119"/>
  <c r="AN189" i="120"/>
  <c r="AP306" i="120"/>
  <c r="AN192" i="120"/>
  <c r="AP118" i="120"/>
  <c r="AL275" i="120"/>
  <c r="AK541" i="119"/>
  <c r="AN36" i="120"/>
  <c r="AP380" i="120"/>
  <c r="AK85" i="119"/>
  <c r="AP79" i="120"/>
  <c r="AP439" i="120"/>
  <c r="AK37" i="119"/>
  <c r="AN122" i="120"/>
  <c r="AN324" i="120"/>
  <c r="AN114" i="120"/>
  <c r="AP127" i="120"/>
  <c r="AK636" i="119"/>
  <c r="AO255" i="120"/>
  <c r="AO446" i="120"/>
  <c r="AK58" i="119"/>
  <c r="AK75" i="119"/>
  <c r="AP96" i="120"/>
  <c r="AK141" i="119"/>
  <c r="AP258" i="120"/>
  <c r="AP364" i="120"/>
  <c r="AP396" i="120"/>
  <c r="AN282" i="120"/>
  <c r="AN226" i="120"/>
  <c r="AL182" i="120"/>
  <c r="AP293" i="120"/>
  <c r="AN179" i="120"/>
  <c r="AP423" i="120"/>
  <c r="AK281" i="119"/>
  <c r="AK603" i="119"/>
  <c r="AO474" i="120"/>
  <c r="AN18" i="120"/>
  <c r="AP70" i="120"/>
  <c r="AO492" i="120"/>
  <c r="AO93" i="120"/>
  <c r="AP479" i="120"/>
  <c r="AL423" i="120"/>
  <c r="AN274" i="120"/>
  <c r="AK451" i="119"/>
  <c r="AK555" i="119"/>
  <c r="AP95" i="120"/>
  <c r="AO465" i="120"/>
  <c r="AK425" i="119"/>
  <c r="AK182" i="119"/>
  <c r="AK780" i="119"/>
  <c r="AL80" i="120"/>
  <c r="AL129" i="120"/>
  <c r="AP489" i="120"/>
  <c r="AP393" i="120"/>
  <c r="AL293" i="120"/>
  <c r="AL316" i="120"/>
  <c r="AK212" i="119"/>
  <c r="AO281" i="120"/>
  <c r="AP410" i="120"/>
  <c r="AK785" i="119"/>
  <c r="AK545" i="119"/>
  <c r="AP430" i="120"/>
  <c r="AP335" i="120"/>
  <c r="AO216" i="120"/>
  <c r="AO307" i="120"/>
  <c r="AO194" i="120"/>
  <c r="AP133" i="120"/>
  <c r="AO109" i="120"/>
  <c r="AK341" i="119"/>
  <c r="AK326" i="119"/>
  <c r="AP224" i="120"/>
  <c r="AK370" i="119"/>
  <c r="AL317" i="120"/>
  <c r="AK33" i="119"/>
  <c r="AK523" i="119"/>
  <c r="AK407" i="119"/>
  <c r="AK759" i="119"/>
  <c r="AN478" i="120"/>
  <c r="AK105" i="119"/>
  <c r="AK145" i="119"/>
  <c r="AK507" i="119"/>
  <c r="J1" i="119" a="1"/>
  <c r="AO310" i="120"/>
  <c r="AO45" i="120"/>
  <c r="AP406" i="120"/>
  <c r="AK131" i="119"/>
  <c r="AN486" i="120"/>
  <c r="AK383" i="119"/>
  <c r="AO412" i="120"/>
  <c r="AK96" i="119"/>
  <c r="AO498" i="120"/>
  <c r="AP189" i="120"/>
  <c r="AK153" i="119"/>
  <c r="AO244" i="120"/>
  <c r="AL302" i="120"/>
  <c r="AK156" i="119"/>
  <c r="AK577" i="119"/>
  <c r="AN353" i="120"/>
  <c r="AK569" i="119"/>
  <c r="AO48" i="120"/>
  <c r="AP329" i="120"/>
  <c r="AK363" i="119"/>
  <c r="AN44" i="120"/>
  <c r="AK428" i="119"/>
  <c r="AN24" i="120"/>
  <c r="AK550" i="119"/>
  <c r="AL250" i="120"/>
  <c r="AN97" i="120"/>
  <c r="AO237" i="120"/>
  <c r="AO386" i="120"/>
  <c r="AK362" i="119"/>
  <c r="AK778" i="119"/>
  <c r="AK351" i="119"/>
  <c r="AK52" i="119"/>
  <c r="AN168" i="120"/>
  <c r="AO436" i="120"/>
  <c r="AK378" i="119"/>
  <c r="AO91" i="120"/>
  <c r="AK397" i="119"/>
  <c r="AL407" i="120"/>
  <c r="AP405" i="120"/>
  <c r="AP325" i="120"/>
  <c r="AN131" i="120"/>
  <c r="AK544" i="119"/>
  <c r="AK439" i="119"/>
  <c r="AO324" i="120"/>
  <c r="AK798" i="119"/>
  <c r="AO233" i="120"/>
  <c r="AK724" i="119"/>
  <c r="AO170" i="120"/>
  <c r="AP259" i="120"/>
  <c r="AL9" i="120"/>
  <c r="AO253" i="120"/>
  <c r="AK504" i="119"/>
  <c r="AO499" i="120"/>
  <c r="AK526" i="119"/>
  <c r="AL204" i="120"/>
  <c r="AO413" i="120"/>
  <c r="AO173" i="120"/>
  <c r="AN371" i="120"/>
  <c r="AP99" i="120"/>
  <c r="AO366" i="120"/>
  <c r="AP85" i="120"/>
  <c r="AK634" i="119"/>
  <c r="AO345" i="120"/>
  <c r="AK782" i="119"/>
  <c r="AO94" i="120"/>
  <c r="AN8" i="120"/>
  <c r="AK490" i="119"/>
  <c r="AO133" i="120"/>
  <c r="AK496" i="119"/>
  <c r="AP378" i="120"/>
  <c r="AK386" i="119"/>
  <c r="AK741" i="119"/>
  <c r="AK373" i="119"/>
  <c r="AN21" i="120"/>
  <c r="AP176" i="120"/>
  <c r="AL148" i="120"/>
  <c r="AO414" i="120"/>
  <c r="AK188" i="119"/>
  <c r="AK286" i="119"/>
  <c r="AP80" i="120"/>
  <c r="AL191" i="120"/>
  <c r="AO263" i="120"/>
  <c r="AP51" i="120"/>
  <c r="AO483" i="120"/>
  <c r="AN310" i="120"/>
  <c r="AO130" i="120"/>
  <c r="AN307" i="120"/>
  <c r="AO51" i="120"/>
  <c r="AN363" i="120"/>
  <c r="AN355" i="120"/>
  <c r="AO327" i="120"/>
  <c r="AN235" i="120"/>
  <c r="AO377" i="120"/>
  <c r="AN338" i="120"/>
  <c r="AL370" i="120"/>
  <c r="AK556" i="119"/>
  <c r="AN335" i="120"/>
  <c r="AL203" i="120"/>
  <c r="AP359" i="120"/>
  <c r="AL105" i="120"/>
  <c r="AO161" i="120"/>
  <c r="AK200" i="119"/>
  <c r="AO136" i="120"/>
  <c r="AL332" i="120"/>
  <c r="AL25" i="120"/>
  <c r="AO401" i="120"/>
  <c r="AK25" i="119"/>
  <c r="AL153" i="120"/>
  <c r="AK348" i="119"/>
  <c r="AL415" i="120"/>
  <c r="AK589" i="119"/>
  <c r="AO484" i="120"/>
  <c r="AL268" i="120"/>
  <c r="AP471" i="120"/>
  <c r="AP15" i="120"/>
  <c r="AK102" i="119"/>
  <c r="AP389" i="120"/>
  <c r="AL443" i="120"/>
  <c r="AO177" i="120"/>
  <c r="AL56" i="120"/>
  <c r="AL36" i="120"/>
  <c r="AK421" i="119"/>
  <c r="AP460" i="120"/>
  <c r="AN410" i="120"/>
  <c r="AK770" i="119"/>
  <c r="AK704" i="119"/>
  <c r="AK619" i="119"/>
  <c r="AK480" i="119"/>
  <c r="AP305" i="120"/>
  <c r="AK597" i="119"/>
  <c r="AO252" i="120"/>
  <c r="AK203" i="119"/>
  <c r="AP491" i="120"/>
  <c r="AK56" i="119"/>
  <c r="AN299" i="120"/>
  <c r="AK162" i="119"/>
  <c r="AN241" i="120"/>
  <c r="AL461" i="120"/>
  <c r="AP421" i="120"/>
  <c r="AO319" i="120"/>
  <c r="AK284" i="119"/>
  <c r="AK92" i="119"/>
  <c r="AO447" i="120"/>
  <c r="AL452" i="120"/>
  <c r="AP66" i="120"/>
  <c r="AK338" i="119"/>
  <c r="AK718" i="119"/>
  <c r="AK503" i="119"/>
  <c r="AL125" i="120"/>
  <c r="AK448" i="119"/>
  <c r="AO248" i="120"/>
  <c r="AO100" i="120"/>
  <c r="AK576" i="119"/>
  <c r="AO179" i="120"/>
  <c r="AN204" i="120"/>
  <c r="AL62" i="120"/>
  <c r="AL180" i="120"/>
  <c r="AK764" i="119"/>
  <c r="AL355" i="120"/>
  <c r="AL487" i="120"/>
  <c r="AN116" i="120"/>
  <c r="AL258" i="120"/>
  <c r="AN101" i="120"/>
  <c r="AL197" i="120"/>
  <c r="AL64" i="120"/>
  <c r="AP248" i="120"/>
  <c r="AN37" i="120"/>
  <c r="AL93" i="120"/>
  <c r="AK218" i="119"/>
  <c r="AN343" i="120"/>
  <c r="AN160" i="120"/>
  <c r="AK572" i="119"/>
  <c r="AO77" i="120"/>
  <c r="AN56" i="120"/>
  <c r="AN175" i="120"/>
  <c r="AK202" i="119"/>
  <c r="AO200" i="120"/>
  <c r="AO47" i="120"/>
  <c r="AN100" i="120"/>
  <c r="AL193" i="120"/>
  <c r="AO333" i="120"/>
  <c r="AP354" i="120"/>
  <c r="AO84" i="120"/>
  <c r="AN375" i="120"/>
  <c r="AN139" i="120"/>
  <c r="AL285" i="120"/>
  <c r="AK502" i="119"/>
  <c r="AL313" i="120"/>
  <c r="AO400" i="120"/>
  <c r="AK731" i="119"/>
  <c r="AK247" i="119"/>
  <c r="AO148" i="120"/>
  <c r="AN348" i="120"/>
  <c r="AP168" i="120"/>
  <c r="AK285" i="119"/>
  <c r="AK255" i="119"/>
  <c r="AP232" i="120"/>
  <c r="AO457" i="120"/>
  <c r="AK685" i="119"/>
  <c r="AL45" i="120"/>
  <c r="AP136" i="120"/>
  <c r="AL325" i="120"/>
  <c r="AK571" i="119"/>
  <c r="AL31" i="120"/>
  <c r="AL224" i="120"/>
  <c r="AP385" i="120"/>
  <c r="AK22" i="119"/>
  <c r="AN456" i="120"/>
  <c r="AN346" i="120"/>
  <c r="AN396" i="120"/>
  <c r="AN219" i="120"/>
  <c r="AN156" i="120"/>
  <c r="AO144" i="120"/>
  <c r="AP256" i="120"/>
  <c r="AO50" i="120"/>
  <c r="AP467" i="120"/>
  <c r="AL230" i="120"/>
  <c r="AP167" i="120"/>
  <c r="AP208" i="120"/>
  <c r="AN459" i="120"/>
  <c r="AK570" i="119"/>
  <c r="AN184" i="120"/>
  <c r="AK327" i="119"/>
  <c r="AK173" i="119"/>
  <c r="AN173" i="120"/>
  <c r="AN458" i="120"/>
  <c r="AK84" i="119"/>
  <c r="AP233" i="120"/>
  <c r="AP19" i="120"/>
  <c r="AL398" i="120"/>
  <c r="AP183" i="120"/>
  <c r="AN25" i="120"/>
  <c r="AO287" i="120"/>
  <c r="AN232" i="120"/>
  <c r="AK152" i="119"/>
  <c r="AK302" i="119"/>
  <c r="AK667" i="119"/>
  <c r="AP370" i="120"/>
  <c r="AO38" i="120"/>
  <c r="AO472" i="120"/>
  <c r="AN446" i="120"/>
  <c r="AK6" i="119"/>
  <c r="AO387" i="120"/>
  <c r="AP144" i="120"/>
  <c r="AK298" i="119"/>
  <c r="AL164" i="120"/>
  <c r="AL238" i="120"/>
  <c r="AK328" i="119"/>
  <c r="AK276" i="119"/>
  <c r="AK630" i="119"/>
  <c r="AO168" i="120"/>
  <c r="AK121" i="119"/>
  <c r="AK392" i="119"/>
  <c r="AK766" i="119"/>
  <c r="AK256" i="119"/>
  <c r="AO221" i="120"/>
  <c r="AP160" i="120"/>
  <c r="AK117" i="119"/>
  <c r="AK78" i="119"/>
  <c r="AP237" i="120"/>
  <c r="AK108" i="119"/>
  <c r="AK558" i="119"/>
  <c r="AK406" i="119"/>
  <c r="AL350" i="120"/>
  <c r="AN78" i="120"/>
  <c r="AK629" i="119"/>
  <c r="AK710" i="119"/>
  <c r="AK748" i="119"/>
  <c r="AN350" i="120"/>
  <c r="AK98" i="119"/>
  <c r="AN341" i="120"/>
  <c r="AL373" i="120"/>
  <c r="AO273" i="120"/>
  <c r="AN442" i="120"/>
  <c r="AO240" i="120"/>
  <c r="AK101" i="119"/>
  <c r="AL84" i="120"/>
  <c r="AL248" i="120"/>
  <c r="AK83" i="119"/>
  <c r="AP231" i="120"/>
  <c r="AK388" i="119"/>
  <c r="AP363" i="120"/>
  <c r="AP420" i="120"/>
  <c r="AK735" i="119"/>
  <c r="AP236" i="120"/>
  <c r="AN281" i="120"/>
  <c r="AK554" i="119"/>
  <c r="AO394" i="120"/>
  <c r="AN465" i="120"/>
  <c r="AN177" i="120"/>
  <c r="AO162" i="120"/>
  <c r="AK337" i="119"/>
  <c r="AK763" i="119"/>
  <c r="AL460" i="120"/>
  <c r="AK542" i="119"/>
  <c r="AP433" i="120"/>
  <c r="AP215" i="120"/>
  <c r="AK583" i="119"/>
  <c r="AP216" i="120"/>
  <c r="AP273" i="120"/>
  <c r="AK734" i="119"/>
  <c r="AK160" i="119"/>
  <c r="AK533" i="119"/>
  <c r="AK703" i="119"/>
  <c r="AL243" i="120"/>
  <c r="AL430" i="120"/>
  <c r="AP286" i="120"/>
  <c r="AO274" i="120"/>
  <c r="AK104" i="119"/>
  <c r="AN494" i="120"/>
  <c r="AN385" i="120"/>
  <c r="AK132" i="119"/>
  <c r="AN203" i="120"/>
  <c r="AP245" i="120"/>
  <c r="AK335" i="119"/>
  <c r="AK187" i="119"/>
  <c r="AP25" i="120"/>
  <c r="AN150" i="120"/>
  <c r="AP161" i="120"/>
  <c r="AP486" i="120"/>
  <c r="AN186" i="120"/>
  <c r="AN191" i="120"/>
  <c r="AK238" i="119"/>
  <c r="AK225" i="119"/>
  <c r="AO54" i="120"/>
  <c r="AK791" i="119"/>
  <c r="AL185" i="120"/>
  <c r="AP427" i="120"/>
  <c r="AL168" i="120"/>
  <c r="AL300" i="120"/>
  <c r="AN495" i="120"/>
  <c r="AO203" i="120"/>
  <c r="AL335" i="120"/>
  <c r="AN164" i="120"/>
  <c r="AP82" i="120"/>
  <c r="AP269" i="120"/>
  <c r="AK604" i="119"/>
  <c r="AL74" i="120"/>
  <c r="AP110" i="120"/>
  <c r="AK593" i="119"/>
  <c r="AL206" i="120"/>
  <c r="AK607" i="119"/>
  <c r="AN330" i="120"/>
  <c r="AP391" i="120"/>
  <c r="AO239" i="120"/>
  <c r="AK28" i="119"/>
  <c r="AK252" i="119"/>
  <c r="AN96" i="120"/>
  <c r="AP253" i="120"/>
  <c r="AK733" i="119"/>
  <c r="AK358" i="119"/>
  <c r="AK193" i="119"/>
  <c r="AK430" i="119"/>
  <c r="AK161" i="119"/>
  <c r="AP76" i="120"/>
  <c r="AK468" i="119"/>
  <c r="AL497" i="120"/>
  <c r="AP372" i="120"/>
  <c r="AK548" i="119"/>
  <c r="AK404" i="119"/>
  <c r="AL279" i="120"/>
  <c r="AK165" i="119"/>
  <c r="AP147" i="120"/>
  <c r="AN420" i="120"/>
  <c r="AP50" i="120"/>
  <c r="AL498" i="120"/>
  <c r="AK342" i="119"/>
  <c r="AO53" i="120"/>
  <c r="AN246" i="120"/>
  <c r="AN383" i="120"/>
  <c r="AN238" i="120"/>
  <c r="AO419" i="120"/>
  <c r="AK354" i="119"/>
  <c r="AP158" i="120"/>
  <c r="AP104" i="120"/>
  <c r="AK659" i="119"/>
  <c r="AL401" i="120"/>
  <c r="AL366" i="120"/>
  <c r="AK722" i="119"/>
  <c r="AK317" i="119"/>
  <c r="AK578" i="119"/>
  <c r="AK438" i="119"/>
  <c r="AO131" i="120"/>
  <c r="AL70" i="120"/>
  <c r="AK171" i="119"/>
  <c r="AP368" i="120"/>
  <c r="AN365" i="120"/>
  <c r="AK711" i="119"/>
  <c r="AN387" i="120"/>
  <c r="AL319" i="120"/>
  <c r="AP214" i="120"/>
  <c r="AP10" i="120"/>
  <c r="AO257" i="120"/>
  <c r="AL169" i="120"/>
  <c r="AO107" i="120"/>
  <c r="AK416" i="119"/>
  <c r="AP139" i="120"/>
  <c r="AO145" i="120"/>
  <c r="AO256" i="120"/>
  <c r="AP463" i="120"/>
  <c r="AO247" i="120"/>
  <c r="AL466" i="120"/>
  <c r="AK624" i="119"/>
  <c r="AK86" i="119"/>
  <c r="AK357" i="119"/>
  <c r="AO128" i="120"/>
  <c r="AL496" i="120"/>
  <c r="AP403" i="120"/>
  <c r="AK740" i="119"/>
  <c r="AL236" i="120"/>
  <c r="AK417" i="119"/>
  <c r="AL208" i="120"/>
  <c r="AO174" i="120"/>
  <c r="AN294" i="120"/>
  <c r="AK194" i="119"/>
  <c r="AL256" i="120"/>
  <c r="AK199" i="119"/>
  <c r="AO220" i="120"/>
  <c r="AL69" i="120"/>
  <c r="AP400" i="120"/>
  <c r="AO459" i="120"/>
  <c r="AL284" i="120"/>
  <c r="AK241" i="119"/>
  <c r="AP311" i="120"/>
  <c r="AK303" i="119"/>
  <c r="AK90" i="119"/>
  <c r="AK580" i="119"/>
  <c r="AN333" i="120"/>
  <c r="AP230" i="120"/>
  <c r="AO44" i="120"/>
  <c r="AN267" i="120"/>
  <c r="AP438" i="120"/>
  <c r="AP407" i="120"/>
  <c r="AK677" i="119"/>
  <c r="AL362" i="120"/>
  <c r="AK151" i="119"/>
  <c r="AN279" i="120"/>
  <c r="AK198" i="119"/>
  <c r="AP299" i="120"/>
  <c r="AN488" i="120"/>
  <c r="AK343" i="119"/>
  <c r="AK181" i="119"/>
  <c r="AK185" i="119"/>
  <c r="AK401" i="119"/>
  <c r="AK130" i="119"/>
  <c r="AN449" i="120"/>
  <c r="AO462" i="120"/>
  <c r="AL339" i="120"/>
  <c r="AO344" i="120"/>
  <c r="AK292" i="119"/>
  <c r="AK180" i="119"/>
  <c r="AO72" i="120"/>
  <c r="AK15" i="119"/>
  <c r="AK142" i="119"/>
  <c r="AK674" i="119"/>
  <c r="AO135" i="120"/>
  <c r="AN460" i="120"/>
  <c r="AL122" i="120"/>
  <c r="AN163" i="120"/>
  <c r="AL210" i="120"/>
  <c r="AK339" i="119"/>
  <c r="AL353" i="120"/>
  <c r="AK725" i="119"/>
  <c r="AP287" i="120"/>
  <c r="AN280" i="120"/>
  <c r="AK314" i="119"/>
  <c r="AN48" i="120"/>
  <c r="AO197" i="120"/>
  <c r="AN159" i="120"/>
  <c r="AO199" i="120"/>
  <c r="AP365" i="120"/>
  <c r="AL388" i="120"/>
  <c r="AP179" i="120"/>
  <c r="AO266" i="120"/>
  <c r="AP123" i="120"/>
  <c r="AN57" i="120"/>
  <c r="AP285" i="120"/>
  <c r="AK481" i="119"/>
  <c r="AO243" i="120"/>
  <c r="AL66" i="120"/>
  <c r="AP498" i="120"/>
  <c r="AL120" i="120"/>
  <c r="AK166" i="119"/>
  <c r="AN329" i="120"/>
  <c r="AK41" i="119"/>
  <c r="AO171" i="120"/>
  <c r="AK484" i="119"/>
  <c r="AK495" i="119"/>
  <c r="AL167" i="120"/>
  <c r="AO23" i="120"/>
  <c r="AK594" i="119"/>
  <c r="AL165" i="120"/>
  <c r="AK352" i="119"/>
  <c r="AL449" i="120"/>
  <c r="AO376" i="120"/>
  <c r="AL54" i="120"/>
  <c r="AK529" i="119"/>
  <c r="AL351" i="120"/>
  <c r="AO500" i="120"/>
  <c r="AK177" i="119"/>
  <c r="AN258" i="120"/>
  <c r="AP184" i="120"/>
  <c r="AO118" i="120"/>
  <c r="AP121" i="120"/>
  <c r="AP263" i="120"/>
  <c r="AK291" i="119"/>
  <c r="AK663" i="119"/>
  <c r="AL456" i="120"/>
  <c r="AK456" i="119"/>
  <c r="AK796" i="119"/>
  <c r="AK423" i="119"/>
  <c r="AO22" i="120"/>
  <c r="AN474" i="120"/>
  <c r="AP88" i="120"/>
  <c r="AK415" i="119"/>
  <c r="AL124" i="120"/>
  <c r="AK387" i="119"/>
  <c r="AO434" i="120"/>
  <c r="AP281" i="120"/>
  <c r="AO418" i="120"/>
  <c r="AN95" i="120"/>
  <c r="AK517" i="119"/>
  <c r="AK462" i="119"/>
  <c r="AK371" i="119"/>
  <c r="AL390" i="120"/>
  <c r="AL476" i="120"/>
  <c r="AK331" i="119"/>
  <c r="AL298" i="120"/>
  <c r="AN79" i="120"/>
  <c r="AN485" i="120"/>
  <c r="AN390" i="120"/>
  <c r="AO42" i="120"/>
  <c r="AL421" i="120"/>
  <c r="AK167" i="119"/>
  <c r="AL49" i="120"/>
  <c r="AP28" i="120"/>
  <c r="AK24" i="119"/>
  <c r="AK9" i="119"/>
  <c r="AK647" i="119"/>
  <c r="AN105" i="120"/>
  <c r="AO464" i="120"/>
  <c r="AL327" i="120"/>
  <c r="AN90" i="120"/>
  <c r="AP156" i="120"/>
  <c r="AO402" i="120"/>
  <c r="AO259" i="120"/>
  <c r="AN298" i="120"/>
  <c r="AN364" i="120"/>
  <c r="AO191" i="120"/>
  <c r="AL376" i="120"/>
  <c r="AL37" i="120"/>
  <c r="AO231" i="120"/>
  <c r="AK275" i="119"/>
  <c r="AN153" i="120"/>
  <c r="AL483" i="120"/>
  <c r="AL114" i="120"/>
  <c r="AP52" i="120"/>
  <c r="AK431" i="119"/>
  <c r="AN427" i="120"/>
  <c r="AO295" i="120"/>
  <c r="AO132" i="120"/>
  <c r="AK334" i="119"/>
  <c r="AO83" i="120"/>
  <c r="AO346" i="120"/>
  <c r="AO470" i="120"/>
  <c r="AK72" i="119"/>
  <c r="AP314" i="120"/>
  <c r="AP247" i="120"/>
  <c r="AK432" i="119"/>
  <c r="AP221" i="120"/>
  <c r="AO425" i="120"/>
  <c r="AN433" i="120"/>
  <c r="AN393" i="120"/>
  <c r="AP376" i="120"/>
  <c r="AK295" i="119"/>
  <c r="AN81" i="120"/>
  <c r="AK574" i="119"/>
  <c r="AL387" i="120"/>
  <c r="AN357" i="120"/>
  <c r="AN394" i="120"/>
  <c r="AP447" i="120"/>
  <c r="AL152" i="120"/>
  <c r="AK163" i="119"/>
  <c r="AK599" i="119"/>
  <c r="AP422" i="120"/>
  <c r="AK296" i="119"/>
  <c r="AK590" i="119"/>
  <c r="AK176" i="119"/>
  <c r="AL445" i="120"/>
  <c r="AP394" i="120"/>
  <c r="AK222" i="119"/>
  <c r="AN284" i="120"/>
  <c r="AN251" i="120"/>
  <c r="AN323" i="120"/>
  <c r="AK42" i="119"/>
  <c r="AK88" i="119"/>
  <c r="AL111" i="120"/>
  <c r="AO451" i="120"/>
  <c r="AL282" i="120"/>
  <c r="AN445" i="120"/>
  <c r="AO343" i="120"/>
  <c r="AK223" i="119"/>
  <c r="AK794" i="119"/>
  <c r="AK729" i="119"/>
  <c r="AK249" i="119"/>
  <c r="AP474" i="120"/>
  <c r="AK44" i="119"/>
  <c r="AL473" i="120"/>
  <c r="AN352" i="120"/>
  <c r="AN397" i="120"/>
  <c r="AO211" i="120"/>
  <c r="AK765" i="119"/>
  <c r="AO88" i="120"/>
  <c r="AK253" i="119"/>
  <c r="AK702" i="119"/>
  <c r="AN268" i="120"/>
  <c r="AN115" i="120"/>
  <c r="AK789" i="119"/>
  <c r="AK35" i="119"/>
  <c r="AK690" i="119"/>
  <c r="AK585" i="119"/>
  <c r="AK592" i="119"/>
  <c r="AO122" i="120"/>
  <c r="AO198" i="120"/>
  <c r="AO408" i="120"/>
  <c r="AK536" i="119"/>
  <c r="AK413" i="119"/>
  <c r="AN436" i="120"/>
  <c r="AO121" i="120"/>
  <c r="AO424" i="120"/>
  <c r="AN71" i="120"/>
  <c r="AP437" i="120"/>
  <c r="AK155" i="119"/>
  <c r="AL331" i="120"/>
  <c r="AL276" i="120"/>
  <c r="AN334" i="120"/>
  <c r="AO169" i="120"/>
  <c r="AL465" i="120"/>
  <c r="AP116" i="120"/>
  <c r="AK229" i="119"/>
  <c r="AK520" i="119"/>
  <c r="AP89" i="120"/>
  <c r="AP69" i="120"/>
  <c r="AL119" i="120"/>
  <c r="AP112" i="120"/>
  <c r="AN61" i="120"/>
  <c r="AN140" i="120"/>
  <c r="AL143" i="120"/>
  <c r="AP204" i="120"/>
  <c r="AN54" i="120"/>
  <c r="AP440" i="120"/>
  <c r="AL380" i="120"/>
  <c r="AN332" i="120"/>
  <c r="AL190" i="120"/>
  <c r="AN359" i="120"/>
  <c r="AK266" i="119"/>
  <c r="AN20" i="120"/>
  <c r="AK301" i="119"/>
  <c r="AO277" i="120"/>
  <c r="AK692" i="119"/>
  <c r="AK712" i="119"/>
  <c r="AO375" i="120"/>
  <c r="AK67" i="119"/>
  <c r="AN414" i="120"/>
  <c r="AK71" i="119"/>
  <c r="AP77" i="120"/>
  <c r="AL439" i="120"/>
  <c r="AN367" i="120"/>
  <c r="AN242" i="120"/>
  <c r="AL184" i="120"/>
  <c r="AK797" i="119"/>
  <c r="AO489" i="120"/>
  <c r="AP192" i="120"/>
  <c r="AO66" i="120"/>
  <c r="AL87" i="120"/>
  <c r="AP449" i="120"/>
  <c r="AL444" i="120"/>
  <c r="AL482" i="120"/>
  <c r="AO185" i="120"/>
  <c r="AO17" i="120"/>
  <c r="AK774" i="119"/>
  <c r="AN183" i="120"/>
  <c r="AK123" i="119"/>
  <c r="AL478" i="120"/>
  <c r="AP55" i="120"/>
  <c r="AN55" i="120"/>
  <c r="AP485" i="120"/>
  <c r="AL484" i="120"/>
  <c r="AL266" i="120"/>
  <c r="AN440" i="120"/>
  <c r="AL287" i="120"/>
  <c r="AK230" i="119"/>
  <c r="AK695" i="119"/>
  <c r="AN210" i="120"/>
  <c r="AP466" i="120"/>
  <c r="AK308" i="119"/>
  <c r="AK688" i="119"/>
  <c r="AK518" i="119"/>
  <c r="AK543" i="119"/>
  <c r="AL309" i="120"/>
  <c r="AK115" i="119"/>
  <c r="AK209" i="119"/>
  <c r="AO336" i="120"/>
  <c r="AP198" i="120"/>
  <c r="AP229" i="120"/>
  <c r="AP331" i="120"/>
  <c r="AN257" i="120"/>
  <c r="AP497" i="120"/>
  <c r="AL385" i="120"/>
  <c r="AO147" i="120"/>
  <c r="AP465" i="120"/>
  <c r="AK89" i="119"/>
  <c r="AP210" i="120"/>
  <c r="AO481" i="120"/>
  <c r="AP260" i="120"/>
  <c r="AK449" i="119"/>
  <c r="AN373" i="120"/>
  <c r="AO404" i="120"/>
  <c r="AL420" i="120"/>
  <c r="AN256" i="120"/>
  <c r="AP71" i="120"/>
  <c r="AP282" i="120"/>
  <c r="AO106" i="120"/>
  <c r="AP35" i="120"/>
  <c r="AK262" i="119"/>
  <c r="AK469" i="119"/>
  <c r="AN169" i="120"/>
  <c r="AN69" i="120"/>
  <c r="AP371" i="120"/>
  <c r="AK74" i="119"/>
  <c r="AK510" i="119"/>
  <c r="AO390" i="120"/>
  <c r="AK368" i="119"/>
  <c r="AN319" i="120"/>
  <c r="AP490" i="120"/>
  <c r="AP386" i="120"/>
  <c r="AK761" i="119"/>
  <c r="AK390" i="119"/>
  <c r="AP417" i="120"/>
  <c r="AK269" i="119"/>
  <c r="AP42" i="120"/>
  <c r="AL395" i="120"/>
  <c r="AK372" i="119"/>
  <c r="AN92" i="120"/>
  <c r="AO74" i="120"/>
  <c r="AP341" i="120"/>
  <c r="AK754" i="119"/>
  <c r="AK614" i="119"/>
  <c r="AN108" i="120"/>
  <c r="AO207" i="120"/>
  <c r="AK379" i="119"/>
  <c r="AN121" i="120"/>
  <c r="AK196" i="119"/>
  <c r="AK36" i="119"/>
  <c r="AN384" i="120"/>
  <c r="AL44" i="120"/>
  <c r="AK716" i="119"/>
  <c r="AK720" i="119"/>
  <c r="AN62" i="120"/>
  <c r="AP38" i="120"/>
  <c r="AP39" i="120"/>
  <c r="AO372" i="120"/>
  <c r="AK595" i="119"/>
  <c r="AO227" i="120"/>
  <c r="AK728" i="119"/>
  <c r="AO75" i="120"/>
  <c r="AN211" i="120"/>
  <c r="AP425" i="120"/>
  <c r="AL304" i="120"/>
  <c r="AP34" i="120"/>
  <c r="AN129" i="120"/>
  <c r="AL324" i="120"/>
  <c r="AK601" i="119"/>
  <c r="AK48" i="119"/>
  <c r="AK676" i="119"/>
  <c r="AO97" i="120"/>
  <c r="AP384" i="120"/>
  <c r="AP296" i="120"/>
  <c r="AK113" i="119"/>
  <c r="AN327" i="120"/>
  <c r="AP119" i="120"/>
  <c r="AP138" i="120"/>
  <c r="AN291" i="120"/>
  <c r="AO290" i="120"/>
  <c r="AP431" i="120"/>
  <c r="AL132" i="120"/>
  <c r="AL346" i="120"/>
  <c r="AL341" i="120"/>
  <c r="AN187" i="120"/>
  <c r="AN67" i="120"/>
  <c r="AN9" i="120"/>
  <c r="AK694" i="119"/>
  <c r="AP310" i="120"/>
  <c r="AP226" i="120"/>
  <c r="AN128" i="120"/>
  <c r="AO429" i="120"/>
  <c r="AK463" i="119"/>
  <c r="AK661" i="119"/>
  <c r="AL78" i="120"/>
  <c r="AL393" i="120"/>
  <c r="AK700" i="119"/>
  <c r="AL162" i="120"/>
  <c r="AP448" i="120"/>
  <c r="AL375" i="120"/>
  <c r="AP203" i="120"/>
  <c r="AN457" i="120"/>
  <c r="AL273" i="120"/>
  <c r="AK282" i="119"/>
  <c r="AK211" i="119"/>
  <c r="AO435" i="120"/>
  <c r="AO379" i="120"/>
  <c r="AP98" i="120"/>
  <c r="AO420" i="120"/>
  <c r="AN260" i="120"/>
  <c r="AL315" i="120"/>
  <c r="AP343" i="120"/>
  <c r="AO137" i="120"/>
  <c r="AL75" i="120"/>
  <c r="AK426" i="119"/>
  <c r="AK170" i="119"/>
  <c r="AO299" i="120"/>
  <c r="AO467" i="120"/>
  <c r="AK443" i="119"/>
  <c r="AO138" i="120"/>
  <c r="AK424" i="119"/>
  <c r="AL228" i="120"/>
  <c r="AK38" i="119"/>
  <c r="AK183" i="119"/>
  <c r="AP103" i="120"/>
  <c r="AK318" i="119"/>
  <c r="AK287" i="119"/>
  <c r="AO485" i="120"/>
  <c r="AK750" i="119"/>
  <c r="AL365" i="120"/>
  <c r="AO368" i="120"/>
  <c r="AP358" i="120"/>
  <c r="AK512" i="119"/>
  <c r="AN415" i="120"/>
  <c r="AK297" i="119"/>
  <c r="AK783" i="119"/>
  <c r="AL99" i="120"/>
  <c r="AL146" i="120"/>
  <c r="AK133" i="119"/>
  <c r="AP443" i="120"/>
  <c r="AP428" i="120"/>
  <c r="AK254" i="119"/>
  <c r="AK62" i="119"/>
  <c r="AO311" i="120"/>
  <c r="AN15" i="120"/>
  <c r="AL251" i="120"/>
  <c r="AK682" i="119"/>
  <c r="AO260" i="120"/>
  <c r="AK53" i="119"/>
  <c r="AN51" i="120"/>
  <c r="AO101" i="120"/>
  <c r="AO285" i="120"/>
  <c r="AK214" i="119"/>
  <c r="AK175" i="119"/>
  <c r="AL267" i="120"/>
  <c r="AO292" i="120"/>
  <c r="AO217" i="120"/>
  <c r="AO271" i="120"/>
  <c r="AK80" i="119"/>
  <c r="AP278" i="120"/>
  <c r="AO157" i="120"/>
  <c r="AK207" i="119"/>
  <c r="AL101" i="120"/>
  <c r="AK402" i="119"/>
  <c r="AK18" i="119"/>
  <c r="AK586" i="119"/>
  <c r="AK403" i="119"/>
  <c r="AK487" i="119"/>
  <c r="AP240" i="120"/>
  <c r="AN99" i="120"/>
  <c r="AN475" i="120"/>
  <c r="AL372" i="120"/>
  <c r="AK329" i="119"/>
  <c r="AO325" i="120"/>
  <c r="AK553" i="119"/>
  <c r="AP303" i="120"/>
  <c r="AP501" i="120"/>
  <c r="AO365" i="120"/>
  <c r="AP31" i="120"/>
  <c r="AO158" i="120"/>
  <c r="AL188" i="120"/>
  <c r="AK436" i="119"/>
  <c r="AP72" i="120"/>
  <c r="AO25" i="120"/>
  <c r="AO64" i="120"/>
  <c r="AN309" i="120"/>
  <c r="AN402" i="120"/>
  <c r="AK532" i="119"/>
  <c r="AL171" i="120"/>
  <c r="AO21" i="120"/>
  <c r="AO349" i="120"/>
  <c r="AK609" i="119"/>
  <c r="AL402" i="120"/>
  <c r="AK201" i="119"/>
  <c r="AK474" i="119"/>
  <c r="AK737" i="119"/>
  <c r="AK721" i="119"/>
  <c r="AL98" i="120"/>
  <c r="AN500" i="120"/>
  <c r="AK393" i="119"/>
  <c r="AL81" i="120"/>
  <c r="AK762" i="119"/>
  <c r="AO71" i="120"/>
  <c r="AK374" i="119"/>
  <c r="AO14" i="120"/>
  <c r="AL35" i="120"/>
  <c r="AK668" i="119"/>
  <c r="AO477" i="120"/>
  <c r="AN157" i="120"/>
  <c r="AL229" i="120"/>
  <c r="AP388" i="120"/>
  <c r="AO409" i="120"/>
  <c r="AO90" i="120"/>
  <c r="AK446" i="119"/>
  <c r="AO181" i="120"/>
  <c r="AN374" i="120"/>
  <c r="AO241" i="120"/>
  <c r="AO57" i="120"/>
  <c r="AK705" i="119"/>
  <c r="AN88" i="120"/>
  <c r="AL470" i="120"/>
  <c r="AN120" i="120"/>
  <c r="AO205" i="120"/>
  <c r="AL61" i="120"/>
  <c r="AL97" i="120"/>
  <c r="AL48" i="120"/>
  <c r="AL422" i="120"/>
  <c r="AL17" i="120"/>
  <c r="AN161" i="120"/>
  <c r="AK60" i="119"/>
  <c r="AL455" i="120"/>
  <c r="AN154" i="120"/>
  <c r="AK244" i="119"/>
  <c r="AP27" i="120"/>
  <c r="AK376" i="119"/>
  <c r="AP450" i="120"/>
  <c r="AK277" i="119"/>
  <c r="AP113" i="120"/>
  <c r="AP47" i="120"/>
  <c r="AN336" i="120"/>
  <c r="AK452" i="119"/>
  <c r="AO95" i="120"/>
  <c r="AN138" i="120"/>
  <c r="AK515" i="119"/>
  <c r="AP279" i="120"/>
  <c r="AK671" i="119"/>
  <c r="AK460" i="119"/>
  <c r="AO268" i="120"/>
  <c r="AP461" i="120"/>
  <c r="AL179" i="120"/>
  <c r="AK139" i="119"/>
  <c r="AK715" i="119"/>
  <c r="AK316" i="119"/>
  <c r="AO116" i="120"/>
  <c r="AP94" i="120"/>
  <c r="AL441" i="120"/>
  <c r="AN30" i="120"/>
  <c r="AL354" i="120"/>
  <c r="AL28" i="120"/>
  <c r="AK208" i="119"/>
  <c r="AN76" i="120"/>
  <c r="AK279" i="119"/>
  <c r="AL480" i="120"/>
  <c r="AK719" i="119"/>
  <c r="AP334" i="120"/>
  <c r="AN325" i="120"/>
  <c r="AL379" i="120"/>
  <c r="AK582" i="119"/>
  <c r="AK742" i="119"/>
  <c r="AK273" i="119"/>
  <c r="AK562" i="119"/>
  <c r="AK49" i="119"/>
  <c r="AK568" i="119"/>
  <c r="AK46" i="119"/>
  <c r="AL187" i="120"/>
  <c r="AO340" i="120"/>
  <c r="AK602" i="119"/>
  <c r="AK773" i="119"/>
  <c r="AK116" i="119"/>
  <c r="AO218" i="120"/>
  <c r="AL16" i="120"/>
  <c r="AP492" i="120"/>
  <c r="AK245" i="119"/>
  <c r="AP41" i="120"/>
  <c r="AP146" i="120"/>
  <c r="AO27" i="120"/>
  <c r="AL117" i="120"/>
  <c r="AK391" i="119"/>
  <c r="AK414" i="119"/>
  <c r="AO275" i="120"/>
  <c r="AP499" i="120"/>
  <c r="AK549" i="119"/>
  <c r="AL239" i="120"/>
  <c r="AN206" i="120"/>
  <c r="AN118" i="120"/>
  <c r="AN418" i="120"/>
  <c r="AN377" i="120"/>
  <c r="AP148" i="120"/>
  <c r="AL12" i="120"/>
  <c r="AK689" i="119"/>
  <c r="AK792" i="119"/>
  <c r="AP78" i="120"/>
  <c r="AK82" i="119"/>
  <c r="AN421" i="120"/>
  <c r="AL89" i="120"/>
  <c r="AL39" i="120"/>
  <c r="AN265" i="120"/>
  <c r="AO82" i="120"/>
  <c r="AP134" i="120"/>
  <c r="AK288" i="119"/>
  <c r="AK248" i="119"/>
  <c r="AN380" i="120"/>
  <c r="AO312" i="120"/>
  <c r="AK450" i="119"/>
  <c r="AP130" i="120"/>
  <c r="AP243" i="120"/>
  <c r="AP469" i="120"/>
  <c r="AN271" i="120"/>
  <c r="AP111" i="120"/>
  <c r="AP328" i="120"/>
  <c r="AO73" i="120"/>
  <c r="AK596" i="119"/>
  <c r="AK319" i="119"/>
  <c r="AK232" i="119"/>
  <c r="AO303" i="120"/>
  <c r="AL26" i="120"/>
  <c r="AO389" i="120"/>
  <c r="AN17" i="120"/>
  <c r="AN489" i="120"/>
  <c r="AL409" i="120"/>
  <c r="AN10" i="120"/>
  <c r="AO323" i="120"/>
  <c r="AL233" i="120"/>
  <c r="AP122" i="120"/>
  <c r="AK771" i="119"/>
  <c r="AO370" i="120"/>
  <c r="AN351" i="120"/>
  <c r="AP46" i="120"/>
  <c r="AK454" i="119"/>
  <c r="AN342" i="120"/>
  <c r="AL223" i="120"/>
  <c r="AK410" i="119"/>
  <c r="AK237" i="119"/>
  <c r="AN480" i="120"/>
  <c r="AP304" i="120"/>
  <c r="AN40" i="120"/>
  <c r="AK653" i="119"/>
  <c r="AN52" i="120"/>
  <c r="AK17" i="119"/>
  <c r="AL265" i="120"/>
  <c r="AL161" i="120"/>
  <c r="AP252" i="120"/>
  <c r="AO222" i="120"/>
  <c r="AN454" i="120"/>
  <c r="AP16" i="120"/>
  <c r="AN400" i="120"/>
  <c r="AK790" i="119"/>
  <c r="AO347" i="120"/>
  <c r="AL199" i="120"/>
  <c r="AO399" i="120"/>
  <c r="AN289" i="120"/>
  <c r="AK320" i="119"/>
  <c r="AL311" i="120"/>
  <c r="AK20" i="119"/>
  <c r="AP43" i="120"/>
  <c r="AL330" i="120"/>
  <c r="AP186" i="120"/>
  <c r="AP347" i="120"/>
  <c r="AK405" i="119"/>
  <c r="AP292" i="120"/>
  <c r="AL310" i="120"/>
  <c r="AK444" i="119"/>
  <c r="AL425" i="120"/>
  <c r="AL343" i="120"/>
  <c r="AO395" i="120"/>
  <c r="AK626" i="119"/>
  <c r="AN127" i="120"/>
  <c r="AN171" i="120"/>
  <c r="AK662" i="119"/>
  <c r="AK264" i="119"/>
  <c r="AL19" i="120"/>
  <c r="AK311" i="119"/>
  <c r="AP416" i="120"/>
  <c r="AN213" i="120"/>
  <c r="AK435" i="119"/>
  <c r="AP90" i="120"/>
  <c r="AL454" i="120"/>
  <c r="AN233" i="120"/>
  <c r="AP452" i="120"/>
  <c r="AP57" i="120"/>
  <c r="AK206" i="119"/>
  <c r="AK189" i="119"/>
  <c r="AL107" i="120"/>
  <c r="AO164" i="120"/>
  <c r="AO28" i="120"/>
  <c r="AO283" i="120"/>
  <c r="AP223" i="120"/>
  <c r="AN376" i="120"/>
  <c r="AK453" i="119"/>
  <c r="AL383" i="120"/>
  <c r="AO81" i="120"/>
  <c r="AP291" i="120"/>
  <c r="AL359" i="120"/>
  <c r="AL479" i="120"/>
  <c r="AK522" i="119"/>
  <c r="AK620" i="119"/>
  <c r="AP399" i="120"/>
  <c r="AK119" i="119"/>
  <c r="AP26" i="120"/>
  <c r="AO206" i="120"/>
  <c r="AO374" i="120"/>
  <c r="AL404" i="120"/>
  <c r="AK660" i="119"/>
  <c r="AK738" i="119"/>
  <c r="AP401" i="120"/>
  <c r="AL110" i="120"/>
  <c r="AN438" i="120"/>
  <c r="AL413" i="120"/>
  <c r="AK697" i="119"/>
  <c r="AN283" i="120"/>
  <c r="AL271" i="120"/>
  <c r="AN123" i="120"/>
  <c r="AK111" i="119"/>
  <c r="AN370" i="120"/>
  <c r="AN218" i="120"/>
  <c r="AK648" i="119"/>
  <c r="AL495" i="120"/>
  <c r="AL489" i="120"/>
  <c r="AL294" i="120"/>
  <c r="AL274" i="120"/>
  <c r="AP272" i="120"/>
  <c r="AK118" i="119"/>
  <c r="AK73" i="119"/>
  <c r="AL314" i="120"/>
  <c r="AP457" i="120"/>
  <c r="AP267" i="120"/>
  <c r="AO68" i="120"/>
  <c r="AL121" i="120"/>
  <c r="AP120" i="120"/>
  <c r="AN275" i="120"/>
  <c r="AL493" i="120"/>
  <c r="AO78" i="120"/>
  <c r="AK427" i="119"/>
  <c r="AP32" i="120"/>
  <c r="AO40" i="120"/>
  <c r="AK691" i="119"/>
  <c r="AO120" i="120"/>
  <c r="AN231" i="120"/>
  <c r="AN86" i="120"/>
  <c r="AN230" i="120"/>
  <c r="AP356" i="120"/>
  <c r="AO416" i="120"/>
  <c r="AO328" i="120"/>
  <c r="AK135" i="119"/>
  <c r="AP9" i="120"/>
  <c r="AO317" i="120"/>
  <c r="AK466" i="119"/>
  <c r="AL305" i="120"/>
  <c r="AN170" i="120"/>
  <c r="AL176" i="120"/>
  <c r="AO294" i="120"/>
  <c r="AL299" i="120"/>
  <c r="AL207" i="120"/>
  <c r="AL414" i="120"/>
  <c r="AO432" i="120"/>
  <c r="AN466" i="120"/>
  <c r="AN228" i="120"/>
  <c r="AP472" i="120"/>
  <c r="AN422" i="120"/>
  <c r="AP102" i="120"/>
  <c r="AP395" i="120"/>
  <c r="AO70" i="120"/>
  <c r="AK514" i="119"/>
  <c r="AL46" i="120"/>
  <c r="AN264" i="120"/>
  <c r="AP11" i="120"/>
  <c r="AN406" i="120"/>
  <c r="AP307" i="120"/>
  <c r="AL219" i="120"/>
  <c r="AK656" i="119"/>
  <c r="AO234" i="120"/>
  <c r="AK714" i="119"/>
  <c r="AK289" i="119"/>
  <c r="AK312" i="119"/>
  <c r="AL464" i="120"/>
  <c r="AO59" i="120"/>
  <c r="AK336" i="119"/>
  <c r="AN43" i="120"/>
  <c r="AK479" i="119"/>
  <c r="AP481" i="120"/>
  <c r="AL141" i="120"/>
  <c r="AN50" i="120"/>
  <c r="AO445" i="120"/>
  <c r="AK732" i="119"/>
  <c r="AL321" i="120"/>
  <c r="AL192" i="120"/>
  <c r="AN209" i="120"/>
  <c r="AO187" i="120"/>
  <c r="AL88" i="120"/>
  <c r="AO308" i="120"/>
  <c r="AN322" i="120"/>
  <c r="AN317" i="120"/>
  <c r="AK743" i="119"/>
  <c r="AO10" i="120"/>
  <c r="AK455" i="119"/>
  <c r="AL59" i="120"/>
  <c r="AN162" i="120"/>
  <c r="AN276" i="120"/>
  <c r="AP374" i="120"/>
  <c r="AK784" i="119"/>
  <c r="AN467" i="120"/>
  <c r="AO215" i="120"/>
  <c r="AP309" i="120"/>
  <c r="AK294" i="119"/>
  <c r="AK333" i="119"/>
  <c r="AO105" i="120"/>
  <c r="AK637" i="119"/>
  <c r="AK525" i="119"/>
  <c r="AN215" i="120"/>
  <c r="AN199" i="120"/>
  <c r="AK755" i="119"/>
  <c r="AN412" i="120"/>
  <c r="AL342" i="120"/>
  <c r="AL501" i="120"/>
  <c r="AK665" i="119"/>
  <c r="AK565" i="119"/>
  <c r="AK227" i="119"/>
  <c r="AO338" i="120"/>
  <c r="AP206" i="120"/>
  <c r="AK332" i="119"/>
  <c r="AK29" i="119"/>
  <c r="AK606" i="119"/>
  <c r="AP153" i="120"/>
  <c r="AO361" i="120"/>
  <c r="AO363" i="120"/>
  <c r="AK250" i="119"/>
  <c r="AP327" i="120"/>
  <c r="AL458" i="120"/>
  <c r="AK581" i="119"/>
  <c r="AN424" i="120"/>
  <c r="AN245" i="120"/>
  <c r="AL231" i="120"/>
  <c r="AP454" i="120"/>
  <c r="AN46" i="120"/>
  <c r="AP366" i="120"/>
  <c r="AN270" i="120"/>
  <c r="AK149" i="119"/>
  <c r="AO417" i="120"/>
  <c r="AO442" i="120"/>
  <c r="AL433" i="120"/>
  <c r="AK524" i="119"/>
  <c r="AO123" i="120"/>
  <c r="AK11" i="119"/>
  <c r="AK310" i="119"/>
  <c r="AL76" i="120"/>
  <c r="AO335" i="120"/>
  <c r="AL371" i="120"/>
  <c r="AL277" i="120"/>
  <c r="AO230" i="120"/>
  <c r="AO300" i="120"/>
  <c r="AK103" i="119"/>
  <c r="AK178" i="119"/>
  <c r="AO449" i="120"/>
  <c r="AL10" i="120"/>
  <c r="AN239" i="120"/>
  <c r="AK367" i="119"/>
  <c r="AN263" i="120"/>
  <c r="AK79" i="119"/>
  <c r="AP414" i="120"/>
  <c r="AL364" i="120"/>
  <c r="AP142" i="120"/>
  <c r="AL417" i="120"/>
  <c r="AL235" i="120"/>
  <c r="AK635" i="119"/>
  <c r="AP290" i="120"/>
  <c r="AP30" i="120"/>
  <c r="AN447" i="120"/>
  <c r="AO298" i="120"/>
  <c r="AN136" i="120"/>
  <c r="AK324" i="119"/>
  <c r="AP219" i="120"/>
  <c r="AO140" i="120"/>
  <c r="AP453" i="120"/>
  <c r="AO407" i="120"/>
  <c r="AK488" i="119"/>
  <c r="AK616" i="119"/>
  <c r="AP201" i="120"/>
  <c r="AL391" i="120"/>
  <c r="AL214" i="120"/>
  <c r="AP225" i="120"/>
  <c r="AP429" i="120"/>
  <c r="AK369" i="119"/>
  <c r="AP86" i="120"/>
  <c r="AO175" i="120"/>
  <c r="AP478" i="120"/>
  <c r="AK377" i="119"/>
  <c r="AP59" i="120"/>
  <c r="AK226" i="119"/>
  <c r="AO149" i="120"/>
  <c r="AP177" i="120"/>
  <c r="AP83" i="120"/>
  <c r="AK493" i="119"/>
  <c r="AK650" i="119"/>
  <c r="AL77" i="120"/>
  <c r="AP151" i="120"/>
  <c r="AK666" i="119"/>
  <c r="AO202" i="120"/>
  <c r="AN248" i="120"/>
  <c r="AN272" i="120"/>
  <c r="AN198" i="120"/>
  <c r="AO20" i="120"/>
  <c r="AL252" i="120"/>
  <c r="AO279" i="120"/>
  <c r="AN158" i="120"/>
  <c r="AN165" i="120"/>
  <c r="AL286" i="120"/>
  <c r="AK769" i="119"/>
  <c r="AN455" i="120"/>
  <c r="AO351" i="120"/>
  <c r="AP468" i="120"/>
  <c r="AN237" i="120"/>
  <c r="AK610" i="119"/>
  <c r="AN178" i="120"/>
  <c r="AN13" i="120"/>
  <c r="AP53" i="120"/>
  <c r="AP75" i="120"/>
  <c r="AP445" i="120"/>
  <c r="AK136" i="119"/>
  <c r="AK270" i="119"/>
  <c r="AN225" i="120"/>
  <c r="AN356" i="120"/>
  <c r="AN328" i="120"/>
  <c r="AK64" i="119"/>
  <c r="AO56" i="120"/>
  <c r="AP165" i="120"/>
  <c r="AP280" i="120"/>
  <c r="AK31" i="119"/>
  <c r="AL170" i="120"/>
  <c r="AK537" i="119"/>
  <c r="AN68" i="120"/>
  <c r="AK300" i="119"/>
  <c r="AO473" i="120"/>
  <c r="AP424" i="120"/>
  <c r="AK231" i="119"/>
  <c r="AK283" i="119"/>
  <c r="AL448" i="120"/>
  <c r="AN42" i="120"/>
  <c r="AK114" i="119"/>
  <c r="AP228" i="120"/>
  <c r="AK640" i="119"/>
  <c r="AK612" i="119"/>
  <c r="AL262" i="120"/>
  <c r="AO326" i="120"/>
  <c r="AN349" i="120"/>
  <c r="AL459" i="120"/>
  <c r="AK27" i="119"/>
  <c r="AO213" i="120"/>
  <c r="AK567" i="119"/>
  <c r="AO16" i="120"/>
  <c r="AK14" i="119"/>
  <c r="AP65" i="120"/>
  <c r="AN429" i="120"/>
  <c r="AN337" i="120"/>
  <c r="AP446" i="120"/>
  <c r="AP316" i="120"/>
  <c r="AN392" i="120"/>
  <c r="AK485" i="119"/>
  <c r="AK467" i="119"/>
  <c r="AK299" i="119"/>
  <c r="AN11" i="120"/>
  <c r="AN148" i="120"/>
  <c r="AN386" i="120"/>
  <c r="AN149" i="120"/>
  <c r="AK727" i="119"/>
  <c r="AO458" i="120"/>
  <c r="AK384" i="119"/>
  <c r="AK345" i="119"/>
  <c r="AL264" i="120"/>
  <c r="AO358" i="120"/>
  <c r="AK272" i="119"/>
  <c r="AO421" i="120"/>
  <c r="AL60" i="120"/>
  <c r="AK263" i="119"/>
  <c r="AK747" i="119"/>
  <c r="AL450" i="120"/>
  <c r="AK588" i="119"/>
  <c r="AK69" i="119"/>
  <c r="AN497" i="120"/>
  <c r="AL336" i="120"/>
  <c r="AN66" i="120"/>
  <c r="AO127" i="120"/>
  <c r="AO39" i="120"/>
  <c r="AK13" i="119"/>
  <c r="AN293" i="120"/>
  <c r="AO114" i="120"/>
  <c r="AP313" i="120"/>
  <c r="AK259" i="119"/>
  <c r="AO342" i="120"/>
  <c r="AO192" i="120"/>
  <c r="AL174" i="120"/>
  <c r="AK260" i="119"/>
  <c r="AL486" i="120"/>
  <c r="AO487" i="120"/>
  <c r="AP250" i="120"/>
  <c r="AK441" i="119"/>
  <c r="AP255" i="120"/>
  <c r="AN448" i="120"/>
  <c r="AN395" i="120"/>
  <c r="AL130" i="120"/>
  <c r="AL136" i="120"/>
  <c r="AL410" i="120"/>
  <c r="AP342" i="120"/>
  <c r="AO313" i="120"/>
  <c r="AK746" i="119"/>
  <c r="AL382" i="120"/>
  <c r="AO24" i="120"/>
  <c r="AL24" i="120"/>
  <c r="AP441" i="120"/>
  <c r="AL436" i="120"/>
  <c r="AL474" i="120"/>
  <c r="AO431" i="120"/>
  <c r="AO103" i="120"/>
  <c r="AO440" i="120"/>
  <c r="AP361" i="120"/>
  <c r="AL95" i="120"/>
  <c r="AO96" i="120"/>
  <c r="AL52" i="120"/>
  <c r="AL8" i="120"/>
  <c r="AO388" i="120"/>
  <c r="AP190" i="120"/>
  <c r="AO466" i="120"/>
  <c r="AO426" i="120"/>
  <c r="AP163" i="120"/>
  <c r="AO156" i="120"/>
  <c r="AP202" i="120"/>
  <c r="AP493" i="120"/>
  <c r="AO331" i="120"/>
  <c r="AL426" i="120"/>
  <c r="AN195" i="120"/>
  <c r="AP207" i="120"/>
  <c r="AK210" i="119"/>
  <c r="AL352" i="120"/>
  <c r="AL202" i="120"/>
  <c r="AP322" i="120"/>
  <c r="AK55" i="119"/>
  <c r="AL123" i="120"/>
  <c r="AP444" i="120"/>
  <c r="AO76" i="120"/>
  <c r="AL47" i="120"/>
  <c r="AN431" i="120"/>
  <c r="AN80" i="120"/>
  <c r="AL94" i="120"/>
  <c r="AP24" i="120"/>
  <c r="AK68" i="119"/>
  <c r="AO183" i="120"/>
  <c r="AN166" i="120"/>
  <c r="AK618" i="119"/>
  <c r="AL472" i="120"/>
  <c r="AN304" i="120"/>
  <c r="AP239" i="120"/>
  <c r="AO433" i="120"/>
  <c r="AO52" i="120"/>
  <c r="AL41" i="120"/>
  <c r="AL215" i="120"/>
  <c r="AN463" i="120"/>
  <c r="AN29" i="120"/>
  <c r="AL424" i="120"/>
  <c r="AP145" i="120"/>
  <c r="AP392" i="120"/>
  <c r="AK687" i="119"/>
  <c r="AN205" i="120"/>
  <c r="AK381" i="119"/>
  <c r="AN142" i="120"/>
  <c r="AL65" i="120"/>
  <c r="AL109" i="120"/>
  <c r="AN41" i="120"/>
  <c r="AK575" i="119"/>
  <c r="AP137" i="120"/>
  <c r="AP338" i="120"/>
  <c r="AL323" i="120"/>
  <c r="AP194" i="120"/>
  <c r="AO232" i="120"/>
  <c r="AK268" i="119"/>
  <c r="AK45" i="119"/>
  <c r="AL269" i="120"/>
  <c r="AK395" i="119"/>
  <c r="AP289" i="120"/>
  <c r="AP464" i="120"/>
  <c r="AO36" i="120"/>
  <c r="AN45" i="120"/>
  <c r="AL27" i="120"/>
  <c r="AN143" i="120"/>
  <c r="AP222" i="120"/>
  <c r="AK623" i="119"/>
  <c r="AN125" i="120"/>
  <c r="AO69" i="120"/>
  <c r="AL429" i="120"/>
  <c r="AL205" i="120"/>
  <c r="AK758" i="119"/>
  <c r="AL100" i="120"/>
  <c r="AO79" i="120"/>
  <c r="AO410" i="120"/>
  <c r="AP302" i="120"/>
  <c r="AK799" i="119"/>
  <c r="AP135" i="120"/>
  <c r="AK322" i="119"/>
  <c r="AO62" i="120"/>
  <c r="AK353" i="119"/>
  <c r="AP132" i="120"/>
  <c r="AN185" i="120"/>
  <c r="AO19" i="120"/>
  <c r="AK408" i="119"/>
  <c r="AK140" i="119"/>
  <c r="AN146" i="120"/>
  <c r="AP21" i="120"/>
  <c r="AP100" i="120"/>
  <c r="AL334" i="120"/>
  <c r="AK233" i="119"/>
  <c r="AO119" i="120"/>
  <c r="AK498" i="119"/>
  <c r="AN296" i="120"/>
  <c r="AN313" i="120"/>
  <c r="AL249" i="120"/>
  <c r="AP351" i="120"/>
  <c r="AL189" i="120"/>
  <c r="AK486" i="119"/>
  <c r="AL344" i="120"/>
  <c r="AK475" i="119"/>
  <c r="AK59" i="119"/>
  <c r="AK396" i="119"/>
  <c r="AN255" i="120"/>
  <c r="AN31" i="120"/>
  <c r="AP162" i="120"/>
  <c r="AO305" i="120"/>
  <c r="AO223" i="120"/>
  <c r="AL96" i="120"/>
  <c r="AO163" i="120"/>
  <c r="AO85" i="120"/>
  <c r="AN378" i="120"/>
  <c r="AK447" i="119"/>
  <c r="AO89" i="120"/>
  <c r="AK534" i="119"/>
  <c r="AP205" i="120"/>
  <c r="AK501" i="119"/>
  <c r="AK112" i="119"/>
  <c r="AN287" i="120"/>
  <c r="AN117" i="120"/>
  <c r="AL381" i="120"/>
  <c r="AP350" i="120"/>
  <c r="AL226" i="120"/>
  <c r="AO193" i="120"/>
  <c r="AP227" i="120"/>
  <c r="AL116" i="120"/>
  <c r="AK242" i="119"/>
  <c r="AL451" i="120"/>
  <c r="AK473" i="119"/>
  <c r="AL73" i="120"/>
  <c r="AO37" i="120"/>
  <c r="AO450" i="120"/>
  <c r="AO282" i="120"/>
  <c r="AL91" i="120"/>
  <c r="AK708" i="119"/>
  <c r="AK157" i="119"/>
  <c r="AO360" i="120"/>
  <c r="AN176" i="120"/>
  <c r="AL133" i="120"/>
  <c r="AN93" i="120"/>
  <c r="AK757" i="119"/>
  <c r="AO195" i="120"/>
  <c r="AL29" i="120"/>
  <c r="AO297" i="120"/>
  <c r="AK216" i="119"/>
  <c r="AL434" i="120"/>
  <c r="AP33" i="120"/>
  <c r="AP495" i="120"/>
  <c r="AO201" i="120"/>
  <c r="AO251" i="120"/>
  <c r="AN253" i="120"/>
  <c r="AL166" i="120"/>
  <c r="AP23" i="120"/>
  <c r="AN106" i="120"/>
  <c r="AL163" i="120"/>
  <c r="AK70" i="119"/>
  <c r="AP48" i="120"/>
  <c r="AP288" i="120"/>
  <c r="AN137" i="120"/>
  <c r="AP312" i="120"/>
  <c r="AK675" i="119"/>
  <c r="AL345" i="120"/>
  <c r="AN437" i="120"/>
  <c r="AP191" i="120"/>
  <c r="AL33" i="120"/>
  <c r="AN444" i="120"/>
  <c r="AR5" i="119" a="1"/>
  <c r="AL358" i="120"/>
  <c r="AP93" i="120"/>
  <c r="AO437" i="120"/>
  <c r="AK23" i="119"/>
  <c r="AO41" i="120"/>
  <c r="AO316" i="120"/>
  <c r="AO334" i="120"/>
  <c r="AO117" i="120"/>
  <c r="AK739" i="119"/>
  <c r="AP432" i="120"/>
  <c r="AL481" i="120"/>
  <c r="AN407" i="120"/>
  <c r="AP487" i="120"/>
  <c r="AO146" i="120"/>
  <c r="AL475" i="120"/>
  <c r="AP381" i="120"/>
  <c r="AP170" i="120"/>
  <c r="AP182" i="120"/>
  <c r="AK32" i="119"/>
  <c r="AL154" i="120"/>
  <c r="AL173" i="120"/>
  <c r="AP87" i="120"/>
  <c r="AO286" i="120"/>
  <c r="AN318" i="120"/>
  <c r="AP379" i="120"/>
  <c r="AO339" i="120"/>
  <c r="AK547" i="119"/>
  <c r="AL51" i="120"/>
  <c r="AL104" i="120"/>
  <c r="AP92" i="120"/>
  <c r="AK221" i="119"/>
  <c r="AK658" i="119"/>
  <c r="AN130" i="120"/>
  <c r="AP297" i="120"/>
  <c r="AK325" i="119"/>
  <c r="AN361" i="120"/>
  <c r="AO264" i="120"/>
  <c r="AP451" i="120"/>
  <c r="AN247" i="120"/>
  <c r="AL348" i="120"/>
  <c r="AN461" i="120"/>
  <c r="AK129" i="119"/>
  <c r="AN409" i="120"/>
  <c r="AO396" i="120"/>
  <c r="AO165" i="120"/>
  <c r="AK538" i="119"/>
  <c r="AK309" i="119"/>
  <c r="AK652" i="119"/>
  <c r="AK144" i="119"/>
  <c r="AL85" i="120"/>
  <c r="AK290" i="119"/>
  <c r="AK234" i="119"/>
  <c r="AN229" i="120"/>
  <c r="AK34" i="119"/>
  <c r="AL40" i="120"/>
  <c r="AK30" i="119"/>
  <c r="AL32" i="120"/>
  <c r="AL34" i="120"/>
  <c r="AK726" i="119"/>
  <c r="AK800" i="119"/>
  <c r="AO196" i="120"/>
  <c r="AL211" i="120"/>
  <c r="AO453" i="120"/>
  <c r="AP18" i="120"/>
  <c r="AO159" i="120"/>
  <c r="AO405" i="120"/>
  <c r="AO428" i="120"/>
  <c r="AK779" i="119"/>
  <c r="AK633" i="119"/>
  <c r="AK632" i="119"/>
  <c r="AL328" i="120"/>
  <c r="AO411" i="120"/>
  <c r="AK219" i="119"/>
  <c r="AK228" i="119"/>
  <c r="AP169" i="120"/>
  <c r="AO306" i="120"/>
  <c r="AN26" i="120"/>
  <c r="AP74" i="120"/>
  <c r="AL306" i="120"/>
  <c r="AK429" i="119"/>
  <c r="AK793" i="119"/>
  <c r="AO330" i="120"/>
  <c r="AN19" i="120"/>
  <c r="AP333" i="120"/>
  <c r="AK399" i="119"/>
  <c r="AN483" i="120"/>
  <c r="AO99" i="120"/>
  <c r="AK600" i="119"/>
  <c r="AK280" i="119"/>
  <c r="AL384" i="120"/>
  <c r="AK655" i="119"/>
  <c r="AO235" i="120"/>
  <c r="AK670" i="119"/>
  <c r="AL137" i="120"/>
  <c r="AK251" i="119"/>
  <c r="AL467" i="120"/>
  <c r="AN84" i="120"/>
  <c r="AL145" i="120"/>
  <c r="AK772" i="119"/>
  <c r="AO67" i="120"/>
  <c r="AO403" i="120"/>
  <c r="AO439" i="120"/>
  <c r="AK561" i="119"/>
  <c r="AN499" i="120"/>
  <c r="AO87" i="120"/>
  <c r="AP199" i="120"/>
  <c r="AN259" i="120"/>
  <c r="AP244" i="120"/>
  <c r="AK184" i="119"/>
  <c r="AK174" i="119"/>
  <c r="AL337" i="120"/>
  <c r="AP330" i="120"/>
  <c r="AN501" i="120"/>
  <c r="AO353" i="120"/>
  <c r="AL357" i="120"/>
  <c r="AK81" i="119"/>
  <c r="AK787" i="119"/>
  <c r="AO242" i="120"/>
  <c r="AL499" i="120"/>
  <c r="AL79" i="120"/>
  <c r="AN425" i="120"/>
  <c r="AP196" i="120"/>
  <c r="AN496" i="120"/>
  <c r="AP235" i="120"/>
  <c r="AP171" i="120"/>
  <c r="AN22" i="120"/>
  <c r="AK43" i="119"/>
  <c r="AN182" i="120"/>
  <c r="AL303" i="120"/>
  <c r="AO63" i="120"/>
  <c r="AN428" i="120"/>
  <c r="AL283" i="120"/>
  <c r="AP270" i="120"/>
  <c r="AK458" i="119"/>
  <c r="AL255" i="120"/>
  <c r="AP56" i="120"/>
  <c r="AK172" i="119"/>
  <c r="AN399" i="120"/>
  <c r="AN443" i="120"/>
  <c r="AN63" i="120"/>
  <c r="AP159" i="120"/>
  <c r="AP373" i="120"/>
  <c r="AK127" i="119"/>
  <c r="AP54" i="120"/>
  <c r="AN405" i="120"/>
  <c r="AN102" i="120"/>
  <c r="AL288" i="120"/>
  <c r="AK745" i="119"/>
  <c r="AO228" i="120"/>
  <c r="AK95" i="119"/>
  <c r="AL126" i="120"/>
  <c r="AP62" i="120"/>
  <c r="AK699" i="119"/>
  <c r="AK519" i="119"/>
  <c r="AN464" i="120"/>
  <c r="AO153" i="120"/>
  <c r="AN492" i="120"/>
  <c r="AK61" i="119"/>
  <c r="AL272" i="120"/>
  <c r="AN306" i="120"/>
  <c r="AL296" i="120"/>
  <c r="AL477" i="120"/>
  <c r="AN172" i="120"/>
  <c r="AO378" i="120"/>
  <c r="AN112" i="120"/>
  <c r="AN344" i="120"/>
  <c r="AN133" i="120"/>
  <c r="AN224" i="120"/>
  <c r="AK617" i="119"/>
  <c r="AK10" i="119"/>
  <c r="AN181" i="120"/>
  <c r="AN354" i="120"/>
  <c r="AK16" i="119"/>
  <c r="AL427" i="120"/>
  <c r="AP367" i="120"/>
  <c r="AN132" i="120"/>
  <c r="AN321" i="120"/>
  <c r="AK500" i="119"/>
  <c r="AK491" i="119"/>
  <c r="AO143" i="120"/>
  <c r="AN110" i="120"/>
  <c r="AO280" i="120"/>
  <c r="AL257" i="120"/>
  <c r="AK494" i="119"/>
  <c r="AK54" i="119"/>
  <c r="AL261" i="120"/>
  <c r="AK205" i="119"/>
  <c r="AP254" i="120"/>
  <c r="AN266" i="120"/>
  <c r="AL115" i="120"/>
  <c r="AN290" i="120"/>
  <c r="AN452" i="120"/>
  <c r="AO176" i="120"/>
  <c r="AK559" i="119"/>
  <c r="AN388" i="120"/>
  <c r="AO497" i="120"/>
  <c r="AO55" i="120"/>
  <c r="AP360" i="120"/>
  <c r="AK240" i="119"/>
  <c r="AP483" i="120"/>
  <c r="AO494" i="120"/>
  <c r="AO11" i="120"/>
  <c r="AN416" i="120"/>
  <c r="AP180" i="120"/>
  <c r="AL151" i="120"/>
  <c r="AK681" i="119"/>
  <c r="AN65" i="120"/>
  <c r="AL241" i="120"/>
  <c r="AL468" i="120"/>
  <c r="AL291" i="120"/>
  <c r="AO469" i="120"/>
  <c r="AK57" i="119"/>
  <c r="AN493" i="120"/>
  <c r="AL322" i="120"/>
  <c r="AL394" i="120"/>
  <c r="AP154" i="120"/>
  <c r="AL386" i="120"/>
  <c r="AL492" i="120"/>
  <c r="AK349" i="119"/>
  <c r="AK433" i="119"/>
  <c r="AN473" i="120"/>
  <c r="AL222" i="120"/>
  <c r="AO423" i="120"/>
  <c r="AN217" i="120"/>
  <c r="AL320" i="120"/>
  <c r="AO356" i="120"/>
  <c r="AK158" i="119"/>
  <c r="AN134" i="120"/>
  <c r="AK278" i="119"/>
  <c r="AP84" i="120"/>
  <c r="AL196" i="120"/>
  <c r="AP175" i="120"/>
  <c r="AL374" i="120"/>
  <c r="AO455" i="120"/>
  <c r="AL142" i="120"/>
  <c r="AK195" i="119"/>
  <c r="AK66" i="119"/>
  <c r="AK573" i="119"/>
  <c r="AN109" i="120"/>
  <c r="AN472" i="120"/>
  <c r="AO491" i="120"/>
  <c r="AN77" i="120"/>
  <c r="AL200" i="120"/>
  <c r="AL488" i="120"/>
  <c r="AP40" i="120"/>
  <c r="AN32" i="120"/>
  <c r="AP129" i="120"/>
  <c r="AL216" i="120"/>
  <c r="AP317" i="120"/>
  <c r="AK749" i="119"/>
  <c r="AL106" i="120"/>
  <c r="AK235" i="119"/>
  <c r="AO406" i="120"/>
  <c r="AL30" i="120"/>
  <c r="AK679" i="119"/>
  <c r="AO214" i="120"/>
  <c r="AO383" i="120"/>
  <c r="AN487" i="120"/>
  <c r="AL333" i="120"/>
  <c r="AN315" i="120"/>
  <c r="AL396" i="120"/>
  <c r="AL55" i="120"/>
  <c r="AK306" i="119"/>
  <c r="AN285" i="120"/>
  <c r="AO381" i="120"/>
  <c r="AN419" i="120"/>
  <c r="AO270" i="120"/>
  <c r="AK412" i="119"/>
  <c r="AO86" i="120"/>
  <c r="AK411" i="119"/>
  <c r="AN103" i="120"/>
  <c r="AN372" i="120"/>
  <c r="AO441" i="120"/>
  <c r="AP73" i="120"/>
  <c r="AP268" i="120"/>
  <c r="AP91" i="120"/>
  <c r="AK5" i="119"/>
  <c r="AL138" i="120"/>
  <c r="AL245" i="120"/>
  <c r="AO46" i="120"/>
  <c r="AP238" i="120"/>
  <c r="AN252" i="120"/>
  <c r="AK204" i="119"/>
  <c r="AP404" i="120"/>
  <c r="AN98" i="120"/>
  <c r="AL150" i="120"/>
  <c r="AK651" i="119"/>
  <c r="AO80" i="120"/>
  <c r="AO397" i="120"/>
  <c r="AO354" i="120"/>
  <c r="AK440" i="119"/>
  <c r="AN312" i="120"/>
  <c r="AN87" i="120"/>
  <c r="AN471" i="120"/>
  <c r="AP434" i="120"/>
  <c r="AP475" i="120"/>
  <c r="AP37" i="120"/>
  <c r="AK107" i="119"/>
  <c r="AK713" i="119"/>
  <c r="AL289" i="120"/>
  <c r="AK274" i="119"/>
  <c r="AK442" i="119"/>
  <c r="AP459" i="120"/>
  <c r="AK125" i="119"/>
  <c r="AK664" i="119"/>
  <c r="AK137" i="119"/>
  <c r="AK693" i="119"/>
  <c r="AN381" i="120"/>
  <c r="AK643" i="119"/>
  <c r="AN152" i="120"/>
  <c r="AN113" i="120"/>
  <c r="AN70" i="120"/>
  <c r="AL416" i="120"/>
  <c r="AL86" i="120"/>
  <c r="AL431" i="120"/>
  <c r="AO452" i="120"/>
  <c r="AP193" i="120"/>
  <c r="AL234" i="120"/>
  <c r="AK19" i="119"/>
  <c r="AO272" i="120"/>
  <c r="AL412" i="120"/>
  <c r="AP128" i="120"/>
  <c r="AL301" i="120"/>
  <c r="AL462" i="120"/>
  <c r="AL418" i="120"/>
  <c r="AP418" i="120"/>
  <c r="AO341" i="120"/>
  <c r="AP220" i="120"/>
  <c r="AL218" i="120"/>
  <c r="AN389" i="120"/>
  <c r="AK753" i="119"/>
  <c r="AL244" i="120"/>
  <c r="AO151" i="120"/>
  <c r="AO362" i="120"/>
  <c r="AP345" i="120"/>
  <c r="AO155" i="120"/>
  <c r="AL113" i="120"/>
  <c r="AK99" i="119"/>
  <c r="AK267" i="119"/>
  <c r="AL263" i="120"/>
  <c r="AN468" i="120"/>
  <c r="AO496" i="120"/>
  <c r="AN83" i="120"/>
  <c r="AN74" i="120"/>
  <c r="AP326" i="120"/>
  <c r="AN221" i="120"/>
  <c r="AK598" i="119"/>
  <c r="AK464" i="119"/>
  <c r="AK164" i="119"/>
  <c r="AK179" i="119"/>
  <c r="AN38" i="120"/>
  <c r="AP13" i="120"/>
  <c r="AK169" i="119"/>
  <c r="AN339" i="120"/>
  <c r="AK698" i="119"/>
  <c r="AL242" i="120"/>
  <c r="AO293" i="120"/>
  <c r="AP274" i="120"/>
  <c r="AK684" i="119"/>
  <c r="AP402" i="120"/>
  <c r="AN47" i="120"/>
  <c r="AO60" i="120"/>
  <c r="AP455" i="120"/>
  <c r="AP398" i="120"/>
  <c r="AO348" i="120"/>
  <c r="AN250" i="120"/>
  <c r="AK471" i="119"/>
  <c r="AP218" i="120"/>
  <c r="AK777" i="119"/>
  <c r="AO65" i="120"/>
  <c r="AO26" i="120"/>
  <c r="AP500" i="120"/>
  <c r="AL368" i="120"/>
  <c r="AK246" i="119"/>
  <c r="AL392" i="120"/>
  <c r="AK678" i="119"/>
  <c r="AK97" i="119"/>
  <c r="AN366" i="120"/>
  <c r="AN434" i="120"/>
  <c r="AP68" i="120"/>
  <c r="AN104" i="120"/>
  <c r="AK445" i="119"/>
  <c r="AP411" i="120"/>
  <c r="AP17" i="120"/>
  <c r="AK307" i="119"/>
  <c r="AN288" i="120"/>
  <c r="AK305" i="119"/>
  <c r="AK128" i="119"/>
  <c r="AL140" i="120"/>
  <c r="AN303" i="120"/>
  <c r="AL181" i="120"/>
  <c r="AL349" i="120"/>
  <c r="AO184" i="120"/>
  <c r="AP166" i="120"/>
  <c r="AL217" i="120"/>
  <c r="AP212" i="120"/>
  <c r="AK389" i="119"/>
  <c r="AK669" i="119"/>
  <c r="AN126" i="120"/>
  <c r="AP12" i="120"/>
  <c r="AL175" i="120"/>
  <c r="AO380" i="120"/>
  <c r="AN53" i="120"/>
  <c r="AL225" i="120"/>
  <c r="AP187" i="120"/>
  <c r="AN316" i="120"/>
  <c r="AL457" i="120"/>
  <c r="AK646" i="119"/>
  <c r="AP382" i="120"/>
  <c r="AL149" i="120"/>
  <c r="AO225" i="120"/>
  <c r="AL403" i="120"/>
  <c r="AK795" i="119"/>
  <c r="AN180" i="120"/>
  <c r="AL43" i="120"/>
  <c r="AP61" i="120"/>
  <c r="AL118" i="120"/>
  <c r="AO204" i="120"/>
  <c r="AP14" i="120"/>
  <c r="AO236" i="120"/>
  <c r="AO478" i="120"/>
  <c r="AK39" i="119"/>
  <c r="AK752" i="119"/>
  <c r="AN72" i="120"/>
  <c r="AK143" i="119"/>
  <c r="AP336" i="120"/>
  <c r="AL155" i="120"/>
  <c r="AL453" i="120"/>
  <c r="AP332" i="120"/>
  <c r="AO486" i="120"/>
  <c r="AK293" i="119"/>
  <c r="AK124" i="119"/>
  <c r="AP262" i="120"/>
  <c r="AN227" i="120"/>
  <c r="AO392" i="120"/>
  <c r="AP442" i="120"/>
  <c r="AK191" i="119"/>
  <c r="AO186" i="120"/>
  <c r="AL195" i="120"/>
  <c r="AP64" i="120"/>
  <c r="AL201" i="120"/>
  <c r="AL281" i="120"/>
  <c r="AN111" i="120"/>
  <c r="AN49" i="120"/>
  <c r="AO8" i="120"/>
  <c r="AK516" i="119"/>
  <c r="AO488" i="120"/>
  <c r="AN490" i="120"/>
  <c r="AP435" i="120"/>
  <c r="AN94" i="120"/>
  <c r="AO58" i="120"/>
  <c r="AO43" i="120"/>
  <c r="AP477" i="120"/>
  <c r="AL160" i="120"/>
  <c r="AK400" i="119"/>
  <c r="AK217" i="119"/>
  <c r="AN91" i="120"/>
  <c r="AP105" i="120"/>
  <c r="AK220" i="119"/>
  <c r="AK213" i="119"/>
  <c r="AO111" i="120"/>
  <c r="AK91" i="119"/>
  <c r="AK63" i="119"/>
  <c r="AK497" i="119"/>
  <c r="AN151" i="120"/>
  <c r="AN208" i="120"/>
  <c r="AL53" i="120"/>
  <c r="P1" i="119" a="1"/>
  <c r="AO154" i="120"/>
  <c r="AP200" i="120"/>
  <c r="AN273" i="120"/>
  <c r="AP261" i="120"/>
  <c r="AL440" i="120"/>
  <c r="AP172" i="120"/>
  <c r="AL442" i="120"/>
  <c r="AP164" i="120"/>
  <c r="AK776" i="119"/>
  <c r="AN27" i="120"/>
  <c r="AO112" i="120"/>
  <c r="AO152" i="120"/>
  <c r="AN326" i="120"/>
  <c r="AO329" i="120"/>
  <c r="AO30" i="120"/>
  <c r="AP387" i="120"/>
  <c r="AN401" i="120"/>
  <c r="AK644" i="119"/>
  <c r="AN450" i="120"/>
  <c r="AK527" i="119"/>
  <c r="AL11" i="120"/>
  <c r="AN135" i="120"/>
  <c r="AK639" i="119"/>
  <c r="AL183" i="120"/>
  <c r="AO219" i="120"/>
  <c r="AP390" i="120"/>
  <c r="AN484" i="120"/>
  <c r="AL209" i="120"/>
  <c r="AO18" i="120"/>
  <c r="AN482" i="120"/>
  <c r="AP319" i="120"/>
  <c r="AP488" i="120"/>
  <c r="AO34" i="120"/>
  <c r="AP295" i="120"/>
  <c r="AK707" i="119"/>
  <c r="AP181" i="120"/>
  <c r="AP22" i="120"/>
  <c r="AK673" i="119"/>
  <c r="AL102" i="120"/>
  <c r="AO493" i="120"/>
  <c r="AL63" i="120"/>
  <c r="AK613" i="119"/>
  <c r="AP294" i="120"/>
  <c r="AN269" i="120"/>
  <c r="AO31" i="120"/>
  <c r="AK621" i="119"/>
  <c r="AO29" i="120"/>
  <c r="AK330" i="119"/>
  <c r="AN216" i="120"/>
  <c r="AK505" i="119"/>
  <c r="AL159" i="120"/>
  <c r="AK477" i="119"/>
  <c r="AP241" i="120"/>
  <c r="AO102" i="120"/>
  <c r="AL42" i="120"/>
  <c r="AP152" i="120"/>
  <c r="AP246" i="120"/>
  <c r="AK138" i="119"/>
  <c r="AK361" i="119"/>
  <c r="AP125" i="120"/>
  <c r="AK12" i="119"/>
  <c r="AP494" i="120"/>
  <c r="AP346" i="120"/>
  <c r="AL369" i="120"/>
  <c r="AP340" i="120"/>
  <c r="AL237" i="120"/>
  <c r="AL38" i="120"/>
  <c r="AP318" i="120"/>
  <c r="AN498" i="120"/>
  <c r="AK482" i="119"/>
  <c r="AO337" i="120"/>
  <c r="AK701" i="119"/>
  <c r="AK513" i="119"/>
  <c r="AO430" i="120"/>
  <c r="AO393" i="120"/>
  <c r="AK540" i="119"/>
  <c r="AK419" i="119"/>
  <c r="AP412" i="120"/>
  <c r="AK265" i="119"/>
  <c r="AN308" i="120"/>
  <c r="AP323" i="120"/>
  <c r="AN144" i="120"/>
  <c r="AO267" i="120"/>
  <c r="AL92" i="120"/>
  <c r="AO443" i="120"/>
  <c r="AK680" i="119"/>
  <c r="AP298" i="120"/>
  <c r="AK499" i="119"/>
  <c r="AN16" i="120"/>
  <c r="AN398" i="120"/>
  <c r="AO355" i="120"/>
  <c r="AO315" i="120"/>
  <c r="AN297" i="120"/>
  <c r="AN331" i="120"/>
  <c r="AP426" i="120"/>
  <c r="AO501" i="120"/>
  <c r="AP419" i="120"/>
  <c r="AL338" i="120"/>
  <c r="AP8" i="120"/>
  <c r="AL227" i="120"/>
  <c r="AO367" i="120"/>
  <c r="AL308" i="120"/>
  <c r="AL254" i="120"/>
  <c r="AN358" i="120"/>
  <c r="AN408" i="120"/>
  <c r="AL18" i="120"/>
  <c r="AO480" i="120"/>
  <c r="AO35" i="120"/>
  <c r="AL157" i="120"/>
  <c r="AO125" i="120"/>
  <c r="AN411" i="120"/>
  <c r="AP101" i="120"/>
  <c r="AK261" i="119"/>
  <c r="AL156" i="120"/>
  <c r="AK642" i="119"/>
  <c r="AN305" i="120"/>
  <c r="AP300" i="120"/>
  <c r="AK657" i="119"/>
  <c r="AK77" i="119"/>
  <c r="AN174" i="120"/>
  <c r="AL389" i="120"/>
  <c r="AL186" i="120"/>
  <c r="AK258" i="119"/>
  <c r="AL363" i="120"/>
  <c r="AL405" i="120"/>
  <c r="AN155" i="120"/>
  <c r="AO468" i="120"/>
  <c r="AL278" i="120"/>
  <c r="AL437" i="120"/>
  <c r="AN193" i="120"/>
  <c r="AK21" i="119"/>
  <c r="AP251" i="120"/>
  <c r="AO115" i="120"/>
  <c r="AK51" i="119"/>
  <c r="AO104" i="120"/>
  <c r="AO357" i="120"/>
  <c r="AL447" i="120"/>
  <c r="AK271" i="119"/>
  <c r="AK531" i="119"/>
  <c r="AL23" i="120"/>
  <c r="AN82" i="120"/>
  <c r="AN107" i="120"/>
  <c r="AK552" i="119"/>
  <c r="AP29" i="120"/>
  <c r="AO398" i="120"/>
  <c r="AK375" i="119"/>
  <c r="AO49" i="120"/>
  <c r="AK418" i="119"/>
  <c r="AL280" i="120"/>
  <c r="AN413" i="120"/>
  <c r="AP131" i="120"/>
  <c r="AP108" i="120"/>
  <c r="AK615" i="119"/>
  <c r="AK756" i="119"/>
  <c r="AL135" i="120"/>
  <c r="AO385" i="120"/>
  <c r="AK672" i="119"/>
  <c r="AL212" i="120"/>
  <c r="AP339" i="120"/>
  <c r="AL397" i="120"/>
  <c r="AL471" i="120"/>
  <c r="AP320" i="120"/>
  <c r="AL232" i="120"/>
  <c r="AN477" i="120"/>
  <c r="AO190" i="120"/>
  <c r="AN262" i="120"/>
  <c r="AN340" i="120"/>
  <c r="AO371" i="120"/>
  <c r="AO254" i="120"/>
  <c r="AK243" i="119"/>
  <c r="AN14" i="120"/>
  <c r="AO278" i="120"/>
  <c r="AP249" i="120"/>
  <c r="AO448" i="120"/>
  <c r="AK530" i="119"/>
  <c r="AL82" i="120"/>
  <c r="AO113" i="120"/>
  <c r="AO265" i="120"/>
  <c r="AP265" i="120"/>
  <c r="AN301" i="120"/>
  <c r="AL399" i="120"/>
  <c r="AN345" i="120"/>
  <c r="AP496" i="120"/>
  <c r="AL83" i="120"/>
  <c r="AK511" i="119"/>
  <c r="AL57" i="120"/>
  <c r="AP369" i="120"/>
  <c r="AO32" i="120"/>
  <c r="AO495" i="120"/>
  <c r="AP44" i="120"/>
  <c r="AN212" i="120"/>
  <c r="AL246" i="120"/>
  <c r="AL326" i="120"/>
  <c r="AO276" i="120"/>
  <c r="AK110" i="119"/>
  <c r="AL361" i="120"/>
  <c r="AN33" i="120"/>
  <c r="AK535" i="119"/>
  <c r="AL139" i="120"/>
  <c r="AL318" i="120"/>
  <c r="AP344" i="120"/>
  <c r="AL419" i="120"/>
  <c r="AK563" i="119"/>
  <c r="AO224" i="120"/>
  <c r="AP45" i="120"/>
  <c r="AO261" i="120"/>
  <c r="AK65" i="119"/>
  <c r="AO422" i="120"/>
  <c r="AO427" i="120"/>
  <c r="AO364" i="120"/>
  <c r="AK434" i="119"/>
  <c r="AO15" i="120"/>
  <c r="AL260" i="120"/>
  <c r="AN300" i="120"/>
  <c r="AO134" i="120"/>
  <c r="AP257" i="120"/>
  <c r="AK472" i="119"/>
  <c r="AK775" i="119"/>
  <c r="AO350" i="120"/>
  <c r="AP36" i="120"/>
  <c r="AK134" i="119"/>
  <c r="AN254" i="120"/>
  <c r="AN302" i="120"/>
  <c r="AO208" i="120"/>
  <c r="AN200" i="120"/>
  <c r="AP375" i="120"/>
  <c r="AO369" i="120"/>
  <c r="AN439" i="120"/>
  <c r="AR7" i="119" a="1"/>
  <c r="AP408" i="120"/>
  <c r="AO142" i="120"/>
  <c r="AO212" i="120"/>
  <c r="AP195" i="120"/>
  <c r="AK706" i="119"/>
  <c r="AL67" i="120"/>
  <c r="AK365" i="119"/>
  <c r="AK394" i="119"/>
  <c r="AL220" i="120"/>
  <c r="AK546" i="119"/>
  <c r="AP149" i="120"/>
  <c r="AL290" i="120"/>
  <c r="AL377" i="120"/>
  <c r="AL128" i="120"/>
  <c r="AP217" i="120"/>
  <c r="AO444" i="120"/>
  <c r="AL378" i="120"/>
  <c r="AL491" i="120"/>
  <c r="AN147" i="120"/>
  <c r="AL292" i="120"/>
  <c r="AK355" i="119"/>
  <c r="AP456" i="120"/>
  <c r="AO382" i="120"/>
  <c r="AN278" i="120"/>
  <c r="AL463" i="120"/>
  <c r="AP470" i="120"/>
  <c r="AP126" i="120"/>
  <c r="AO490" i="120"/>
  <c r="AN64" i="120"/>
  <c r="AP458" i="120"/>
  <c r="AO289" i="120"/>
  <c r="AK461" i="119"/>
  <c r="AK564" i="119"/>
  <c r="AN491" i="120"/>
  <c r="AK627" i="119"/>
  <c r="AL71" i="120"/>
  <c r="AO475" i="120"/>
  <c r="AP157" i="120"/>
  <c r="AL194" i="120"/>
  <c r="AL172" i="120"/>
  <c r="AL158" i="120"/>
  <c r="AP352" i="120"/>
  <c r="AP209" i="120"/>
  <c r="AL340" i="120"/>
  <c r="AN391" i="120"/>
  <c r="AO314" i="120"/>
  <c r="AK304" i="119"/>
  <c r="AN403" i="120"/>
  <c r="AO167" i="120"/>
  <c r="AN244" i="120"/>
  <c r="AN295" i="120"/>
  <c r="AN451" i="120"/>
  <c r="AK186" i="119"/>
  <c r="AO226" i="120"/>
  <c r="AN320" i="120"/>
  <c r="AN470" i="120"/>
  <c r="AK359" i="119"/>
  <c r="AK760" i="119"/>
  <c r="AK645" i="119"/>
  <c r="AK7" i="119"/>
  <c r="AL68" i="120"/>
  <c r="AK641" i="119"/>
  <c r="AP124" i="120"/>
  <c r="AK566" i="119"/>
  <c r="AK344" i="119"/>
  <c r="AN249" i="120"/>
  <c r="AN347" i="120"/>
  <c r="AO461" i="120"/>
  <c r="AK385" i="119"/>
  <c r="AN311" i="120"/>
  <c r="AP480" i="120"/>
  <c r="AL367" i="120"/>
  <c r="AN368" i="120"/>
  <c r="AL435" i="120"/>
  <c r="AP413" i="120"/>
  <c r="AO209" i="120"/>
  <c r="AN124" i="120"/>
  <c r="AN190" i="120"/>
  <c r="AO415" i="120"/>
  <c r="AP106" i="120"/>
  <c r="AK76" i="119"/>
  <c r="AN292" i="120"/>
  <c r="AL253" i="120"/>
  <c r="AN404" i="120"/>
  <c r="AL446" i="120"/>
  <c r="AN196" i="120"/>
  <c r="AL221" i="120"/>
  <c r="AK478" i="119"/>
  <c r="AK744" i="119"/>
  <c r="AP383" i="120"/>
  <c r="AN243" i="120"/>
  <c r="AP324" i="120"/>
  <c r="AP353" i="120"/>
  <c r="AP20" i="120"/>
  <c r="AO288" i="120"/>
  <c r="AO172" i="120"/>
  <c r="AO13" i="120"/>
  <c r="AL307" i="120"/>
  <c r="AL21" i="120"/>
  <c r="AL90" i="120"/>
  <c r="AN222" i="120"/>
  <c r="AP242" i="120"/>
  <c r="AN141" i="120"/>
  <c r="AP115" i="120"/>
  <c r="AO301" i="120"/>
  <c r="AP277" i="120"/>
  <c r="AP275" i="120"/>
  <c r="AP109" i="120"/>
  <c r="AK321" i="119"/>
  <c r="AO180" i="120"/>
  <c r="AP315" i="120"/>
  <c r="AO188" i="120"/>
  <c r="AN417" i="120"/>
  <c r="AP185" i="120"/>
  <c r="AL103" i="120"/>
  <c r="AK638" i="119"/>
  <c r="AN214" i="120"/>
  <c r="AO476" i="120"/>
  <c r="AO373" i="120"/>
  <c r="AP264" i="120"/>
  <c r="AK786" i="119"/>
  <c r="AL297" i="120"/>
  <c r="AP97" i="120"/>
  <c r="AN441" i="120"/>
  <c r="AN12" i="120"/>
  <c r="AO291" i="120"/>
  <c r="AN34" i="120"/>
  <c r="AN167" i="120"/>
  <c r="AN240" i="120"/>
  <c r="AP276" i="120"/>
  <c r="AP482" i="120"/>
  <c r="AO210" i="120"/>
  <c r="AP81" i="120"/>
  <c r="AK109" i="119"/>
  <c r="AK492" i="119"/>
  <c r="AL406" i="120"/>
  <c r="AP357" i="120"/>
  <c r="AK364" i="119"/>
  <c r="AP49" i="120"/>
  <c r="AL295" i="120"/>
  <c r="AL500" i="120"/>
  <c r="AP436" i="120"/>
  <c r="AK366" i="119"/>
  <c r="AP174" i="120"/>
  <c r="AK717" i="119"/>
  <c r="AP337" i="120"/>
  <c r="AO150" i="120"/>
  <c r="AO189" i="120"/>
  <c r="AK625" i="119"/>
  <c r="AL411" i="120"/>
  <c r="AL240" i="120"/>
  <c r="AL408" i="120"/>
  <c r="AK654" i="119"/>
  <c r="AN314" i="120"/>
  <c r="AK190" i="119"/>
  <c r="AN453" i="120"/>
  <c r="AR6" i="119" a="1"/>
  <c r="AL58" i="120"/>
  <c r="AN476" i="120"/>
  <c r="AL20" i="120"/>
  <c r="AP114" i="120"/>
  <c r="AK346" i="119"/>
  <c r="AK315" i="119"/>
  <c r="AN220" i="120"/>
  <c r="AO438" i="120"/>
  <c r="AO12" i="120"/>
  <c r="AN379" i="120"/>
  <c r="AL360" i="120"/>
  <c r="AN236" i="120"/>
  <c r="AN207" i="120"/>
  <c r="AP140" i="120"/>
  <c r="AO160" i="120"/>
  <c r="AP484" i="120"/>
  <c r="AR8" i="119" a="1"/>
  <c r="AL50" i="120"/>
  <c r="AO318" i="120"/>
  <c r="AP173" i="120"/>
  <c r="AO302" i="120"/>
  <c r="AL312" i="120"/>
  <c r="AN145" i="120"/>
  <c r="AO9" i="120"/>
  <c r="AK579" i="119"/>
  <c r="AO460" i="120"/>
  <c r="AN119" i="120"/>
  <c r="AO454" i="120"/>
  <c r="AN382" i="120"/>
  <c r="AO309" i="120"/>
  <c r="AP308" i="120"/>
  <c r="K3" i="120"/>
  <c r="L3" i="120"/>
  <c r="AL579" i="119"/>
  <c r="J312" i="120" a="1"/>
  <c r="J312" i="120"/>
  <c r="J50" i="120" a="1"/>
  <c r="J50" i="120"/>
  <c r="AR8" i="119"/>
  <c r="AL315" i="119"/>
  <c r="AL346" i="119"/>
  <c r="J20" i="120" a="1"/>
  <c r="J20" i="120"/>
  <c r="J58" i="120" a="1"/>
  <c r="J58" i="120"/>
  <c r="AR6" i="119"/>
  <c r="AL190" i="119"/>
  <c r="AL654" i="119"/>
  <c r="J408" i="120" a="1"/>
  <c r="J408" i="120"/>
  <c r="J240" i="120" a="1"/>
  <c r="J240" i="120"/>
  <c r="J411" i="120" a="1"/>
  <c r="J411" i="120"/>
  <c r="AL625" i="119"/>
  <c r="AL717" i="119"/>
  <c r="AL366" i="119"/>
  <c r="J500" i="120" a="1"/>
  <c r="J500" i="120"/>
  <c r="J295" i="120" a="1"/>
  <c r="J295" i="120"/>
  <c r="AL364" i="119"/>
  <c r="J406" i="120" a="1"/>
  <c r="J406" i="120"/>
  <c r="AL492" i="119"/>
  <c r="AL109" i="119"/>
  <c r="J297" i="120" a="1"/>
  <c r="J297" i="120"/>
  <c r="AL786" i="119"/>
  <c r="AL638" i="119"/>
  <c r="J103" i="120" a="1"/>
  <c r="J103" i="120"/>
  <c r="AL321" i="119"/>
  <c r="J90" i="120" a="1"/>
  <c r="J90" i="120"/>
  <c r="J21" i="120" a="1"/>
  <c r="J21" i="120"/>
  <c r="J307" i="120" a="1"/>
  <c r="J307" i="120"/>
  <c r="AL744" i="119"/>
  <c r="AL478" i="119"/>
  <c r="J221" i="120" a="1"/>
  <c r="J221" i="120"/>
  <c r="J446" i="120" a="1"/>
  <c r="J446" i="120"/>
  <c r="J253" i="120" a="1"/>
  <c r="J253" i="120"/>
  <c r="AL76" i="119"/>
  <c r="J435" i="120" a="1"/>
  <c r="J435" i="120"/>
  <c r="J367" i="120" a="1"/>
  <c r="J367" i="120"/>
  <c r="AL385" i="119"/>
  <c r="AL344" i="119"/>
  <c r="AL566" i="119"/>
  <c r="AL641" i="119"/>
  <c r="J68" i="120" a="1"/>
  <c r="J68" i="120"/>
  <c r="AL7" i="119"/>
  <c r="AL645" i="119"/>
  <c r="AL760" i="119"/>
  <c r="AL359" i="119"/>
  <c r="AL186" i="119"/>
  <c r="AL304" i="119"/>
  <c r="J340" i="120" a="1"/>
  <c r="J340" i="120"/>
  <c r="J158" i="120" a="1"/>
  <c r="J158" i="120"/>
  <c r="J172" i="120" a="1"/>
  <c r="J172" i="120"/>
  <c r="J194" i="120" a="1"/>
  <c r="J194" i="120"/>
  <c r="J71" i="120" a="1"/>
  <c r="J71" i="120"/>
  <c r="AL627" i="119"/>
  <c r="AL564" i="119"/>
  <c r="AL461" i="119"/>
  <c r="J463" i="120" a="1"/>
  <c r="J463" i="120"/>
  <c r="AL355" i="119"/>
  <c r="J292" i="120" a="1"/>
  <c r="J292" i="120"/>
  <c r="J491" i="120" a="1"/>
  <c r="J491" i="120"/>
  <c r="J378" i="120" a="1"/>
  <c r="J378" i="120"/>
  <c r="J128" i="120" a="1"/>
  <c r="J128" i="120"/>
  <c r="J290" i="120" a="1"/>
  <c r="J290" i="120"/>
  <c r="AL546" i="119"/>
  <c r="J220" i="120" a="1"/>
  <c r="J220" i="120"/>
  <c r="AL394" i="119"/>
  <c r="AL365" i="119"/>
  <c r="J67" i="120" a="1"/>
  <c r="J67" i="120"/>
  <c r="AL706" i="119"/>
  <c r="AR7" i="119"/>
  <c r="AL134" i="119"/>
  <c r="AL775" i="119"/>
  <c r="AL472" i="119"/>
  <c r="J260" i="120" a="1"/>
  <c r="J260" i="120"/>
  <c r="AL434" i="119"/>
  <c r="AL65" i="119"/>
  <c r="AL563" i="119"/>
  <c r="J419" i="120" a="1"/>
  <c r="J419" i="120"/>
  <c r="J318" i="120" a="1"/>
  <c r="J318" i="120"/>
  <c r="J139" i="120" a="1"/>
  <c r="J139" i="120"/>
  <c r="AL535" i="119"/>
  <c r="J361" i="120" a="1"/>
  <c r="J361" i="120"/>
  <c r="AL110" i="119"/>
  <c r="J326" i="120" a="1"/>
  <c r="J326" i="120"/>
  <c r="J246" i="120" a="1"/>
  <c r="J246" i="120"/>
  <c r="J57" i="120" a="1"/>
  <c r="J57" i="120"/>
  <c r="AL511" i="119"/>
  <c r="J83" i="120" a="1"/>
  <c r="J83" i="120"/>
  <c r="J399" i="120" a="1"/>
  <c r="J399" i="120"/>
  <c r="J82" i="120" a="1"/>
  <c r="J82" i="120"/>
  <c r="AL530" i="119"/>
  <c r="AL243" i="119"/>
  <c r="J232" i="120" a="1"/>
  <c r="J232" i="120"/>
  <c r="J397" i="120" a="1"/>
  <c r="J397" i="120"/>
  <c r="J212" i="120" a="1"/>
  <c r="J212" i="120"/>
  <c r="AL672" i="119"/>
  <c r="J135" i="120" a="1"/>
  <c r="J135" i="120"/>
  <c r="AL756" i="119"/>
  <c r="AL615" i="119"/>
  <c r="J280" i="120" a="1"/>
  <c r="J280" i="120"/>
  <c r="AL418" i="119"/>
  <c r="AL375" i="119"/>
  <c r="AL552" i="119"/>
  <c r="AL531" i="119"/>
  <c r="AL271" i="119"/>
  <c r="J447" i="120" a="1"/>
  <c r="J447" i="120"/>
  <c r="AL51" i="119"/>
  <c r="AL21" i="119"/>
  <c r="J437" i="120" a="1"/>
  <c r="J437" i="120"/>
  <c r="J278" i="120" a="1"/>
  <c r="J278" i="120"/>
  <c r="J405" i="120" a="1"/>
  <c r="J405" i="120"/>
  <c r="J363" i="120" a="1"/>
  <c r="J363" i="120"/>
  <c r="AL258" i="119"/>
  <c r="J186" i="120" a="1"/>
  <c r="J186" i="120"/>
  <c r="J389" i="120" a="1"/>
  <c r="J389" i="120"/>
  <c r="AL77" i="119"/>
  <c r="AL657" i="119"/>
  <c r="AL642" i="119"/>
  <c r="J156" i="120" a="1"/>
  <c r="J156" i="120"/>
  <c r="AL261" i="119"/>
  <c r="J157" i="120" a="1"/>
  <c r="J157" i="120"/>
  <c r="J18" i="120" a="1"/>
  <c r="J18" i="120"/>
  <c r="J254" i="120" a="1"/>
  <c r="J254" i="120"/>
  <c r="J308" i="120" a="1"/>
  <c r="J308" i="120"/>
  <c r="J227" i="120" a="1"/>
  <c r="J227" i="120"/>
  <c r="J338" i="120" a="1"/>
  <c r="J338" i="120"/>
  <c r="AL499" i="119"/>
  <c r="AL680" i="119"/>
  <c r="AL265" i="119"/>
  <c r="AL419" i="119"/>
  <c r="AL540" i="119"/>
  <c r="AL513" i="119"/>
  <c r="AL701" i="119"/>
  <c r="AL482" i="119"/>
  <c r="J38" i="120" a="1"/>
  <c r="J38" i="120"/>
  <c r="J237" i="120" a="1"/>
  <c r="J237" i="120"/>
  <c r="J369" i="120" a="1"/>
  <c r="J369" i="120"/>
  <c r="AL12" i="119"/>
  <c r="AL361" i="119"/>
  <c r="AL138" i="119"/>
  <c r="J42" i="120" a="1"/>
  <c r="J42" i="120"/>
  <c r="AL477" i="119"/>
  <c r="J159" i="120" a="1"/>
  <c r="J159" i="120"/>
  <c r="AL505" i="119"/>
  <c r="AL330" i="119"/>
  <c r="AL621" i="119"/>
  <c r="AL613" i="119"/>
  <c r="J63" i="120" a="1"/>
  <c r="J63" i="120"/>
  <c r="J102" i="120" a="1"/>
  <c r="J102" i="120"/>
  <c r="AL673" i="119"/>
  <c r="AL707" i="119"/>
  <c r="J209" i="120" a="1"/>
  <c r="J209" i="120"/>
  <c r="J183" i="120" a="1"/>
  <c r="J183" i="120"/>
  <c r="AL639" i="119"/>
  <c r="J11" i="120" a="1"/>
  <c r="J11" i="120"/>
  <c r="AL527" i="119"/>
  <c r="AL644" i="119"/>
  <c r="AL776" i="119"/>
  <c r="J442" i="120" a="1"/>
  <c r="J442" i="120"/>
  <c r="J440" i="120" a="1"/>
  <c r="J440" i="120"/>
  <c r="P1" i="119"/>
  <c r="J53" i="120" a="1"/>
  <c r="J53" i="120"/>
  <c r="AL497" i="119"/>
  <c r="AL63" i="119"/>
  <c r="AL91" i="119"/>
  <c r="AL213" i="119"/>
  <c r="AL220" i="119"/>
  <c r="AL217" i="119"/>
  <c r="AL400" i="119"/>
  <c r="J160" i="120" a="1"/>
  <c r="J160" i="120"/>
  <c r="AL516" i="119"/>
  <c r="J281" i="120" a="1"/>
  <c r="J281" i="120"/>
  <c r="J201" i="120" a="1"/>
  <c r="J201" i="120"/>
  <c r="J195" i="120" a="1"/>
  <c r="J195" i="120"/>
  <c r="AL191" i="119"/>
  <c r="AL124" i="119"/>
  <c r="AL293" i="119"/>
  <c r="J453" i="120" a="1"/>
  <c r="J453" i="120"/>
  <c r="J155" i="120" a="1"/>
  <c r="J155" i="120"/>
  <c r="AL143" i="119"/>
  <c r="AL752" i="119"/>
  <c r="AL39" i="119"/>
  <c r="J118" i="120" a="1"/>
  <c r="J118" i="120"/>
  <c r="J43" i="120" a="1"/>
  <c r="J43" i="120"/>
  <c r="AL795" i="119"/>
  <c r="J403" i="120" a="1"/>
  <c r="J403" i="120"/>
  <c r="J149" i="120" a="1"/>
  <c r="J149" i="120"/>
  <c r="AL646" i="119"/>
  <c r="J457" i="120" a="1"/>
  <c r="J457" i="120"/>
  <c r="J225" i="120" a="1"/>
  <c r="J225" i="120"/>
  <c r="J175" i="120" a="1"/>
  <c r="J175" i="120"/>
  <c r="AL669" i="119"/>
  <c r="AL389" i="119"/>
  <c r="J217" i="120" a="1"/>
  <c r="J217" i="120"/>
  <c r="J181" i="120" a="1"/>
  <c r="J181" i="120"/>
  <c r="J140" i="120" a="1"/>
  <c r="J140" i="120"/>
  <c r="AL128" i="119"/>
  <c r="AL305" i="119"/>
  <c r="AL307" i="119"/>
  <c r="AL445" i="119"/>
  <c r="AL97" i="119"/>
  <c r="AL678" i="119"/>
  <c r="J392" i="120" a="1"/>
  <c r="J392" i="120"/>
  <c r="AL246" i="119"/>
  <c r="J368" i="120" a="1"/>
  <c r="J368" i="120"/>
  <c r="AL777" i="119"/>
  <c r="AL471" i="119"/>
  <c r="AL684" i="119"/>
  <c r="J242" i="120" a="1"/>
  <c r="J242" i="120"/>
  <c r="AL698" i="119"/>
  <c r="AL169" i="119"/>
  <c r="AL179" i="119"/>
  <c r="AL164" i="119"/>
  <c r="AL464" i="119"/>
  <c r="AL598" i="119"/>
  <c r="J263" i="120" a="1"/>
  <c r="J263" i="120"/>
  <c r="AL267" i="119"/>
  <c r="AL99" i="119"/>
  <c r="J113" i="120" a="1"/>
  <c r="J113" i="120"/>
  <c r="J244" i="120" a="1"/>
  <c r="J244" i="120"/>
  <c r="AL753" i="119"/>
  <c r="J218" i="120" a="1"/>
  <c r="J218" i="120"/>
  <c r="J418" i="120" a="1"/>
  <c r="J418" i="120"/>
  <c r="J462" i="120" a="1"/>
  <c r="J462" i="120"/>
  <c r="J301" i="120" a="1"/>
  <c r="J301" i="120"/>
  <c r="J412" i="120" a="1"/>
  <c r="J412" i="120"/>
  <c r="AL19" i="119"/>
  <c r="J431" i="120" a="1"/>
  <c r="J431" i="120"/>
  <c r="J86" i="120" a="1"/>
  <c r="J86" i="120"/>
  <c r="J416" i="120" a="1"/>
  <c r="J416" i="120"/>
  <c r="AL643" i="119"/>
  <c r="AL693" i="119"/>
  <c r="AL137" i="119"/>
  <c r="AL664" i="119"/>
  <c r="AL125" i="119"/>
  <c r="AL442" i="119"/>
  <c r="AL274" i="119"/>
  <c r="J289" i="120" a="1"/>
  <c r="J289" i="120"/>
  <c r="AL713" i="119"/>
  <c r="AL107" i="119"/>
  <c r="AL440" i="119"/>
  <c r="AL651" i="119"/>
  <c r="AL204" i="119"/>
  <c r="J245" i="120" a="1"/>
  <c r="J245" i="120"/>
  <c r="J138" i="120" a="1"/>
  <c r="J138" i="120"/>
  <c r="AL5" i="119"/>
  <c r="AL411" i="119"/>
  <c r="AL412" i="119"/>
  <c r="AL306" i="119"/>
  <c r="J55" i="120" a="1"/>
  <c r="J55" i="120"/>
  <c r="J396" i="120" a="1"/>
  <c r="J396" i="120"/>
  <c r="J333" i="120" a="1"/>
  <c r="J333" i="120"/>
  <c r="AL679" i="119"/>
  <c r="J30" i="120" a="1"/>
  <c r="J30" i="120"/>
  <c r="AL235" i="119"/>
  <c r="J106" i="120" a="1"/>
  <c r="J106" i="120"/>
  <c r="AL749" i="119"/>
  <c r="J216" i="120" a="1"/>
  <c r="J216" i="120"/>
  <c r="J488" i="120" a="1"/>
  <c r="J488" i="120"/>
  <c r="J200" i="120" a="1"/>
  <c r="J200" i="120"/>
  <c r="AL573" i="119"/>
  <c r="AL66" i="119"/>
  <c r="AL195" i="119"/>
  <c r="J142" i="120" a="1"/>
  <c r="J142" i="120"/>
  <c r="J374" i="120" a="1"/>
  <c r="J374" i="120"/>
  <c r="J196" i="120" a="1"/>
  <c r="J196" i="120"/>
  <c r="AL278" i="119"/>
  <c r="AL158" i="119"/>
  <c r="J320" i="120" a="1"/>
  <c r="J320" i="120"/>
  <c r="J222" i="120" a="1"/>
  <c r="J222" i="120"/>
  <c r="AL433" i="119"/>
  <c r="AL349" i="119"/>
  <c r="J492" i="120" a="1"/>
  <c r="J492" i="120"/>
  <c r="J386" i="120" a="1"/>
  <c r="J386" i="120"/>
  <c r="J394" i="120" a="1"/>
  <c r="J394" i="120"/>
  <c r="J322" i="120" a="1"/>
  <c r="J322" i="120"/>
  <c r="AL57" i="119"/>
  <c r="J291" i="120" a="1"/>
  <c r="J291" i="120"/>
  <c r="J468" i="120" a="1"/>
  <c r="J468" i="120"/>
  <c r="J241" i="120" a="1"/>
  <c r="J241" i="120"/>
  <c r="AL681" i="119"/>
  <c r="J151" i="120" a="1"/>
  <c r="J151" i="120"/>
  <c r="AL240" i="119"/>
  <c r="AL559" i="119"/>
  <c r="J115" i="120" a="1"/>
  <c r="J115" i="120"/>
  <c r="AL205" i="119"/>
  <c r="J261" i="120" a="1"/>
  <c r="J261" i="120"/>
  <c r="AL54" i="119"/>
  <c r="AL494" i="119"/>
  <c r="J257" i="120" a="1"/>
  <c r="J257" i="120"/>
  <c r="AL491" i="119"/>
  <c r="AL500" i="119"/>
  <c r="J427" i="120" a="1"/>
  <c r="J427" i="120"/>
  <c r="AL16" i="119"/>
  <c r="AL10" i="119"/>
  <c r="AL617" i="119"/>
  <c r="J477" i="120" a="1"/>
  <c r="J477" i="120"/>
  <c r="J296" i="120" a="1"/>
  <c r="J296" i="120"/>
  <c r="J272" i="120" a="1"/>
  <c r="J272" i="120"/>
  <c r="AL61" i="119"/>
  <c r="AL519" i="119"/>
  <c r="AL699" i="119"/>
  <c r="AL95" i="119"/>
  <c r="AL745" i="119"/>
  <c r="J288" i="120" a="1"/>
  <c r="J288" i="120"/>
  <c r="AL127" i="119"/>
  <c r="AL172" i="119"/>
  <c r="J255" i="120" a="1"/>
  <c r="J255" i="120"/>
  <c r="AL458" i="119"/>
  <c r="J283" i="120" a="1"/>
  <c r="J283" i="120"/>
  <c r="J303" i="120" a="1"/>
  <c r="J303" i="120"/>
  <c r="AL43" i="119"/>
  <c r="J79" i="120" a="1"/>
  <c r="J79" i="120"/>
  <c r="J499" i="120" a="1"/>
  <c r="J499" i="120"/>
  <c r="AL787" i="119"/>
  <c r="AL81" i="119"/>
  <c r="J357" i="120" a="1"/>
  <c r="J357" i="120"/>
  <c r="J337" i="120" a="1"/>
  <c r="J337" i="120"/>
  <c r="AL174" i="119"/>
  <c r="AL184" i="119"/>
  <c r="AL561" i="119"/>
  <c r="AL772" i="119"/>
  <c r="J145" i="120" a="1"/>
  <c r="J145" i="120"/>
  <c r="J467" i="120" a="1"/>
  <c r="J467" i="120"/>
  <c r="AL251" i="119"/>
  <c r="J137" i="120" a="1"/>
  <c r="J137" i="120"/>
  <c r="AL670" i="119"/>
  <c r="AL655" i="119"/>
  <c r="J384" i="120" a="1"/>
  <c r="J384" i="120"/>
  <c r="AL280" i="119"/>
  <c r="AL600" i="119"/>
  <c r="AL399" i="119"/>
  <c r="AL793" i="119"/>
  <c r="AL429" i="119"/>
  <c r="J306" i="120" a="1"/>
  <c r="J306" i="120"/>
  <c r="AL228" i="119"/>
  <c r="AL219" i="119"/>
  <c r="J328" i="120" a="1"/>
  <c r="J328" i="120"/>
  <c r="AL632" i="119"/>
  <c r="AL633" i="119"/>
  <c r="AL779" i="119"/>
  <c r="J211" i="120" a="1"/>
  <c r="J211" i="120"/>
  <c r="AL800" i="119"/>
  <c r="AL726" i="119"/>
  <c r="J34" i="120" a="1"/>
  <c r="J34" i="120"/>
  <c r="J32" i="120" a="1"/>
  <c r="J32" i="120"/>
  <c r="AL30" i="119"/>
  <c r="J40" i="120" a="1"/>
  <c r="J40" i="120"/>
  <c r="AL34" i="119"/>
  <c r="AL234" i="119"/>
  <c r="AL290" i="119"/>
  <c r="J85" i="120" a="1"/>
  <c r="J85" i="120"/>
  <c r="AL144" i="119"/>
  <c r="AL652" i="119"/>
  <c r="AL309" i="119"/>
  <c r="AL538" i="119"/>
  <c r="AL129" i="119"/>
  <c r="J348" i="120" a="1"/>
  <c r="J348" i="120"/>
  <c r="AL325" i="119"/>
  <c r="AL658" i="119"/>
  <c r="AL221" i="119"/>
  <c r="J104" i="120" a="1"/>
  <c r="J104" i="120"/>
  <c r="J51" i="120" a="1"/>
  <c r="J51" i="120"/>
  <c r="AL547" i="119"/>
  <c r="J173" i="120" a="1"/>
  <c r="J173" i="120"/>
  <c r="J154" i="120" a="1"/>
  <c r="J154" i="120"/>
  <c r="AL32" i="119"/>
  <c r="J475" i="120" a="1"/>
  <c r="J475" i="120"/>
  <c r="J481" i="120" a="1"/>
  <c r="J481" i="120"/>
  <c r="AL739" i="119"/>
  <c r="AL23" i="119"/>
  <c r="J358" i="120" a="1"/>
  <c r="J358" i="120"/>
  <c r="AR5" i="119"/>
  <c r="J345" i="120" a="1"/>
  <c r="J345" i="120"/>
  <c r="AL675" i="119"/>
  <c r="AL70" i="119"/>
  <c r="J163" i="120" a="1"/>
  <c r="J163" i="120"/>
  <c r="J166" i="120" a="1"/>
  <c r="J166" i="120"/>
  <c r="J434" i="120" a="1"/>
  <c r="J434" i="120"/>
  <c r="AL216" i="119"/>
  <c r="J29" i="120" a="1"/>
  <c r="J29" i="120"/>
  <c r="AL757" i="119"/>
  <c r="J133" i="120" a="1"/>
  <c r="J133" i="120"/>
  <c r="AL157" i="119"/>
  <c r="AL708" i="119"/>
  <c r="J91" i="120" a="1"/>
  <c r="J91" i="120"/>
  <c r="J73" i="120" a="1"/>
  <c r="J73" i="120"/>
  <c r="AL473" i="119"/>
  <c r="J451" i="120" a="1"/>
  <c r="J451" i="120"/>
  <c r="AL242" i="119"/>
  <c r="J116" i="120" a="1"/>
  <c r="J116" i="120"/>
  <c r="J226" i="120" a="1"/>
  <c r="J226" i="120"/>
  <c r="J381" i="120" a="1"/>
  <c r="J381" i="120"/>
  <c r="AL112" i="119"/>
  <c r="AL501" i="119"/>
  <c r="AL534" i="119"/>
  <c r="AL447" i="119"/>
  <c r="J96" i="120" a="1"/>
  <c r="J96" i="120"/>
  <c r="AL396" i="119"/>
  <c r="AL59" i="119"/>
  <c r="AL475" i="119"/>
  <c r="J344" i="120" a="1"/>
  <c r="J344" i="120"/>
  <c r="AL486" i="119"/>
  <c r="J189" i="120" a="1"/>
  <c r="J189" i="120"/>
  <c r="J249" i="120" a="1"/>
  <c r="J249" i="120"/>
  <c r="AL498" i="119"/>
  <c r="AL233" i="119"/>
  <c r="J334" i="120" a="1"/>
  <c r="J334" i="120"/>
  <c r="AL140" i="119"/>
  <c r="AL408" i="119"/>
  <c r="AL353" i="119"/>
  <c r="AL322" i="119"/>
  <c r="AL799" i="119"/>
  <c r="J100" i="120" a="1"/>
  <c r="J100" i="120"/>
  <c r="AL758" i="119"/>
  <c r="J205" i="120" a="1"/>
  <c r="J205" i="120"/>
  <c r="J429" i="120" a="1"/>
  <c r="J429" i="120"/>
  <c r="AL623" i="119"/>
  <c r="J27" i="120" a="1"/>
  <c r="J27" i="120"/>
  <c r="AL395" i="119"/>
  <c r="J269" i="120" a="1"/>
  <c r="J269" i="120"/>
  <c r="AL45" i="119"/>
  <c r="AL268" i="119"/>
  <c r="J323" i="120" a="1"/>
  <c r="J323" i="120"/>
  <c r="AL575" i="119"/>
  <c r="J109" i="120" a="1"/>
  <c r="J109" i="120"/>
  <c r="J65" i="120" a="1"/>
  <c r="J65" i="120"/>
  <c r="AL381" i="119"/>
  <c r="AL687" i="119"/>
  <c r="J424" i="120" a="1"/>
  <c r="J424" i="120"/>
  <c r="J215" i="120" a="1"/>
  <c r="J215" i="120"/>
  <c r="J41" i="120" a="1"/>
  <c r="J41" i="120"/>
  <c r="J472" i="120" a="1"/>
  <c r="J472" i="120"/>
  <c r="AL618" i="119"/>
  <c r="AL68" i="119"/>
  <c r="J94" i="120" a="1"/>
  <c r="J94" i="120"/>
  <c r="J47" i="120" a="1"/>
  <c r="J47" i="120"/>
  <c r="J123" i="120" a="1"/>
  <c r="J123" i="120"/>
  <c r="AL55" i="119"/>
  <c r="J202" i="120" a="1"/>
  <c r="J202" i="120"/>
  <c r="J352" i="120" a="1"/>
  <c r="J352" i="120"/>
  <c r="AL210" i="119"/>
  <c r="J426" i="120" a="1"/>
  <c r="J426" i="120"/>
  <c r="J8" i="120" a="1"/>
  <c r="J8" i="120"/>
  <c r="J52" i="120" a="1"/>
  <c r="J52" i="120"/>
  <c r="J95" i="120" a="1"/>
  <c r="J95" i="120"/>
  <c r="J474" i="120" a="1"/>
  <c r="J474" i="120"/>
  <c r="J436" i="120" a="1"/>
  <c r="J436" i="120"/>
  <c r="J24" i="120" a="1"/>
  <c r="J24" i="120"/>
  <c r="J382" i="120" a="1"/>
  <c r="J382" i="120"/>
  <c r="AL746" i="119"/>
  <c r="J410" i="120" a="1"/>
  <c r="J410" i="120"/>
  <c r="J136" i="120" a="1"/>
  <c r="J136" i="120"/>
  <c r="J130" i="120" a="1"/>
  <c r="J130" i="120"/>
  <c r="AL441" i="119"/>
  <c r="J486" i="120" a="1"/>
  <c r="J486" i="120"/>
  <c r="AL260" i="119"/>
  <c r="J174" i="120" a="1"/>
  <c r="J174" i="120"/>
  <c r="AL259" i="119"/>
  <c r="AL13" i="119"/>
  <c r="J336" i="120" a="1"/>
  <c r="J336" i="120"/>
  <c r="AL69" i="119"/>
  <c r="AL588" i="119"/>
  <c r="J450" i="120" a="1"/>
  <c r="J450" i="120"/>
  <c r="AL747" i="119"/>
  <c r="AL263" i="119"/>
  <c r="J60" i="120" a="1"/>
  <c r="J60" i="120"/>
  <c r="AL272" i="119"/>
  <c r="J264" i="120" a="1"/>
  <c r="J264" i="120"/>
  <c r="AL345" i="119"/>
  <c r="AL384" i="119"/>
  <c r="AL727" i="119"/>
  <c r="AL299" i="119"/>
  <c r="AL467" i="119"/>
  <c r="AL485" i="119"/>
  <c r="AL14" i="119"/>
  <c r="AL567" i="119"/>
  <c r="AL27" i="119"/>
  <c r="J459" i="120" a="1"/>
  <c r="J459" i="120"/>
  <c r="J262" i="120" a="1"/>
  <c r="J262" i="120"/>
  <c r="AL612" i="119"/>
  <c r="AL640" i="119"/>
  <c r="AL114" i="119"/>
  <c r="J448" i="120" a="1"/>
  <c r="J448" i="120"/>
  <c r="AL283" i="119"/>
  <c r="AL231" i="119"/>
  <c r="AL300" i="119"/>
  <c r="AL537" i="119"/>
  <c r="J170" i="120" a="1"/>
  <c r="J170" i="120"/>
  <c r="AL31" i="119"/>
  <c r="AL64" i="119"/>
  <c r="AL270" i="119"/>
  <c r="AL136" i="119"/>
  <c r="AL610" i="119"/>
  <c r="AL769" i="119"/>
  <c r="J286" i="120" a="1"/>
  <c r="J286" i="120"/>
  <c r="J252" i="120" a="1"/>
  <c r="J252" i="120"/>
  <c r="AL666" i="119"/>
  <c r="J77" i="120" a="1"/>
  <c r="J77" i="120"/>
  <c r="AL650" i="119"/>
  <c r="AL493" i="119"/>
  <c r="AL226" i="119"/>
  <c r="AL377" i="119"/>
  <c r="AL369" i="119"/>
  <c r="J214" i="120" a="1"/>
  <c r="J214" i="120"/>
  <c r="J391" i="120" a="1"/>
  <c r="J391" i="120"/>
  <c r="AL616" i="119"/>
  <c r="AL488" i="119"/>
  <c r="AL324" i="119"/>
  <c r="AL635" i="119"/>
  <c r="J235" i="120" a="1"/>
  <c r="J235" i="120"/>
  <c r="J417" i="120" a="1"/>
  <c r="J417" i="120"/>
  <c r="J364" i="120" a="1"/>
  <c r="J364" i="120"/>
  <c r="AL79" i="119"/>
  <c r="AL367" i="119"/>
  <c r="J10" i="120" a="1"/>
  <c r="J10" i="120"/>
  <c r="AL178" i="119"/>
  <c r="AL103" i="119"/>
  <c r="J277" i="120" a="1"/>
  <c r="J277" i="120"/>
  <c r="J371" i="120" a="1"/>
  <c r="J371" i="120"/>
  <c r="J76" i="120" a="1"/>
  <c r="J76" i="120"/>
  <c r="AL310" i="119"/>
  <c r="AL11" i="119"/>
  <c r="AL524" i="119"/>
  <c r="J433" i="120" a="1"/>
  <c r="J433" i="120"/>
  <c r="AL149" i="119"/>
  <c r="J231" i="120" a="1"/>
  <c r="J231" i="120"/>
  <c r="AL581" i="119"/>
  <c r="J458" i="120" a="1"/>
  <c r="J458" i="120"/>
  <c r="AL250" i="119"/>
  <c r="AL606" i="119"/>
  <c r="AL29" i="119"/>
  <c r="AL332" i="119"/>
  <c r="AL227" i="119"/>
  <c r="AL565" i="119"/>
  <c r="AL665" i="119"/>
  <c r="J342" i="120" a="1"/>
  <c r="J342" i="120"/>
  <c r="AL755" i="119"/>
  <c r="AL525" i="119"/>
  <c r="AL637" i="119"/>
  <c r="AL333" i="119"/>
  <c r="AL294" i="119"/>
  <c r="AL784" i="119"/>
  <c r="J59" i="120" a="1"/>
  <c r="J59" i="120"/>
  <c r="AL455" i="119"/>
  <c r="AL743" i="119"/>
  <c r="J88" i="120" a="1"/>
  <c r="J88" i="120"/>
  <c r="J192" i="120" a="1"/>
  <c r="J192" i="120"/>
  <c r="AL732" i="119"/>
  <c r="J141" i="120" a="1"/>
  <c r="J141" i="120"/>
  <c r="AL479" i="119"/>
  <c r="AL336" i="119"/>
  <c r="J464" i="120" a="1"/>
  <c r="J464" i="120"/>
  <c r="AL312" i="119"/>
  <c r="AL289" i="119"/>
  <c r="AL714" i="119"/>
  <c r="AL656" i="119"/>
  <c r="J219" i="120" a="1"/>
  <c r="J219" i="120"/>
  <c r="J46" i="120" a="1"/>
  <c r="J46" i="120"/>
  <c r="AL514" i="119"/>
  <c r="J414" i="120" a="1"/>
  <c r="J414" i="120"/>
  <c r="J207" i="120" a="1"/>
  <c r="J207" i="120"/>
  <c r="J299" i="120" a="1"/>
  <c r="J299" i="120"/>
  <c r="J176" i="120" a="1"/>
  <c r="J176" i="120"/>
  <c r="J305" i="120" a="1"/>
  <c r="J305" i="120"/>
  <c r="AL466" i="119"/>
  <c r="AL135" i="119"/>
  <c r="AL691" i="119"/>
  <c r="AL427" i="119"/>
  <c r="J493" i="120" a="1"/>
  <c r="J493" i="120"/>
  <c r="J121" i="120" a="1"/>
  <c r="J121" i="120"/>
  <c r="J314" i="120" a="1"/>
  <c r="J314" i="120"/>
  <c r="AL73" i="119"/>
  <c r="AL118" i="119"/>
  <c r="J274" i="120" a="1"/>
  <c r="J274" i="120"/>
  <c r="J294" i="120" a="1"/>
  <c r="J294" i="120"/>
  <c r="J489" i="120" a="1"/>
  <c r="J489" i="120"/>
  <c r="J495" i="120" a="1"/>
  <c r="J495" i="120"/>
  <c r="AL648" i="119"/>
  <c r="AL111" i="119"/>
  <c r="J271" i="120" a="1"/>
  <c r="J271" i="120"/>
  <c r="AL697" i="119"/>
  <c r="J413" i="120" a="1"/>
  <c r="J413" i="120"/>
  <c r="J110" i="120" a="1"/>
  <c r="J110" i="120"/>
  <c r="AL738" i="119"/>
  <c r="AL660" i="119"/>
  <c r="J404" i="120" a="1"/>
  <c r="J404" i="120"/>
  <c r="AL119" i="119"/>
  <c r="AL620" i="119"/>
  <c r="AL522" i="119"/>
  <c r="J479" i="120" a="1"/>
  <c r="J479" i="120"/>
  <c r="J383" i="120" a="1"/>
  <c r="J383" i="120"/>
  <c r="AL453" i="119"/>
  <c r="J107" i="120" a="1"/>
  <c r="J107" i="120"/>
  <c r="AL189" i="119"/>
  <c r="AL206" i="119"/>
  <c r="J454" i="120" a="1"/>
  <c r="J454" i="120"/>
  <c r="AL435" i="119"/>
  <c r="AL311" i="119"/>
  <c r="J19" i="120" a="1"/>
  <c r="J19" i="120"/>
  <c r="AL264" i="119"/>
  <c r="AL662" i="119"/>
  <c r="AL626" i="119"/>
  <c r="J343" i="120" a="1"/>
  <c r="J343" i="120"/>
  <c r="J425" i="120" a="1"/>
  <c r="J425" i="120"/>
  <c r="AL444" i="119"/>
  <c r="J310" i="120" a="1"/>
  <c r="J310" i="120"/>
  <c r="AL405" i="119"/>
  <c r="J330" i="120" a="1"/>
  <c r="J330" i="120"/>
  <c r="AL20" i="119"/>
  <c r="J311" i="120" a="1"/>
  <c r="J311" i="120"/>
  <c r="AL320" i="119"/>
  <c r="J199" i="120" a="1"/>
  <c r="J199" i="120"/>
  <c r="AL790" i="119"/>
  <c r="J161" i="120" a="1"/>
  <c r="J161" i="120"/>
  <c r="J265" i="120" a="1"/>
  <c r="J265" i="120"/>
  <c r="AL17" i="119"/>
  <c r="AL653" i="119"/>
  <c r="AL237" i="119"/>
  <c r="AL410" i="119"/>
  <c r="J223" i="120" a="1"/>
  <c r="J223" i="120"/>
  <c r="AL454" i="119"/>
  <c r="AL771" i="119"/>
  <c r="J233" i="120" a="1"/>
  <c r="J233" i="120"/>
  <c r="J409" i="120" a="1"/>
  <c r="J409" i="120"/>
  <c r="J26" i="120" a="1"/>
  <c r="J26" i="120"/>
  <c r="AL232" i="119"/>
  <c r="AL319" i="119"/>
  <c r="AL596" i="119"/>
  <c r="AL450" i="119"/>
  <c r="AL248" i="119"/>
  <c r="AL288" i="119"/>
  <c r="J39" i="120" a="1"/>
  <c r="J39" i="120"/>
  <c r="J89" i="120" a="1"/>
  <c r="J89" i="120"/>
  <c r="AL82" i="119"/>
  <c r="AL792" i="119"/>
  <c r="AL689" i="119"/>
  <c r="J12" i="120" a="1"/>
  <c r="J12" i="120"/>
  <c r="J239" i="120" a="1"/>
  <c r="J239" i="120"/>
  <c r="AL549" i="119"/>
  <c r="AL414" i="119"/>
  <c r="AL391" i="119"/>
  <c r="J117" i="120" a="1"/>
  <c r="J117" i="120"/>
  <c r="AL245" i="119"/>
  <c r="J16" i="120" a="1"/>
  <c r="J16" i="120"/>
  <c r="AL116" i="119"/>
  <c r="AL773" i="119"/>
  <c r="AL602" i="119"/>
  <c r="J187" i="120" a="1"/>
  <c r="J187" i="120"/>
  <c r="AL46" i="119"/>
  <c r="AL568" i="119"/>
  <c r="AL49" i="119"/>
  <c r="AL562" i="119"/>
  <c r="AL273" i="119"/>
  <c r="AL742" i="119"/>
  <c r="AL582" i="119"/>
  <c r="J379" i="120" a="1"/>
  <c r="J379" i="120"/>
  <c r="AL719" i="119"/>
  <c r="J480" i="120" a="1"/>
  <c r="J480" i="120"/>
  <c r="AL279" i="119"/>
  <c r="AL208" i="119"/>
  <c r="J28" i="120" a="1"/>
  <c r="J28" i="120"/>
  <c r="J354" i="120" a="1"/>
  <c r="J354" i="120"/>
  <c r="J441" i="120" a="1"/>
  <c r="J441" i="120"/>
  <c r="AL316" i="119"/>
  <c r="AL715" i="119"/>
  <c r="AL139" i="119"/>
  <c r="J179" i="120" a="1"/>
  <c r="J179" i="120"/>
  <c r="AL460" i="119"/>
  <c r="AL671" i="119"/>
  <c r="AL515" i="119"/>
  <c r="AL452" i="119"/>
  <c r="AL277" i="119"/>
  <c r="AL376" i="119"/>
  <c r="AL244" i="119"/>
  <c r="J455" i="120" a="1"/>
  <c r="J455" i="120"/>
  <c r="AL60" i="119"/>
  <c r="J17" i="120" a="1"/>
  <c r="J17" i="120"/>
  <c r="J422" i="120" a="1"/>
  <c r="J422" i="120"/>
  <c r="J48" i="120" a="1"/>
  <c r="J48" i="120"/>
  <c r="J97" i="120" a="1"/>
  <c r="J97" i="120"/>
  <c r="J470" i="120" a="1"/>
  <c r="J470" i="120"/>
  <c r="AL705" i="119"/>
  <c r="AL446" i="119"/>
  <c r="J229" i="120" a="1"/>
  <c r="J229" i="120"/>
  <c r="AL668" i="119"/>
  <c r="AL374" i="119"/>
  <c r="AL762" i="119"/>
  <c r="J81" i="120" a="1"/>
  <c r="J81" i="120"/>
  <c r="AL393" i="119"/>
  <c r="J98" i="120" a="1"/>
  <c r="J98" i="120"/>
  <c r="AL721" i="119"/>
  <c r="AL737" i="119"/>
  <c r="AL474" i="119"/>
  <c r="AL201" i="119"/>
  <c r="J402" i="120" a="1"/>
  <c r="J402" i="120"/>
  <c r="AL609" i="119"/>
  <c r="J171" i="120" a="1"/>
  <c r="J171" i="120"/>
  <c r="AL532" i="119"/>
  <c r="AL436" i="119"/>
  <c r="AL553" i="119"/>
  <c r="AL329" i="119"/>
  <c r="J372" i="120" a="1"/>
  <c r="J372" i="120"/>
  <c r="AL487" i="119"/>
  <c r="AL403" i="119"/>
  <c r="AL586" i="119"/>
  <c r="AL18" i="119"/>
  <c r="AL402" i="119"/>
  <c r="J101" i="120" a="1"/>
  <c r="J101" i="120"/>
  <c r="AL207" i="119"/>
  <c r="AL80" i="119"/>
  <c r="J267" i="120" a="1"/>
  <c r="J267" i="120"/>
  <c r="AL175" i="119"/>
  <c r="AL214" i="119"/>
  <c r="AL53" i="119"/>
  <c r="AL682" i="119"/>
  <c r="J251" i="120" a="1"/>
  <c r="J251" i="120"/>
  <c r="AL62" i="119"/>
  <c r="AL254" i="119"/>
  <c r="AL133" i="119"/>
  <c r="J146" i="120" a="1"/>
  <c r="J146" i="120"/>
  <c r="J99" i="120" a="1"/>
  <c r="J99" i="120"/>
  <c r="AL783" i="119"/>
  <c r="AL297" i="119"/>
  <c r="AL512" i="119"/>
  <c r="J365" i="120" a="1"/>
  <c r="J365" i="120"/>
  <c r="AL750" i="119"/>
  <c r="AL287" i="119"/>
  <c r="AL318" i="119"/>
  <c r="AL183" i="119"/>
  <c r="AL38" i="119"/>
  <c r="J228" i="120" a="1"/>
  <c r="J228" i="120"/>
  <c r="AL424" i="119"/>
  <c r="AL443" i="119"/>
  <c r="AL170" i="119"/>
  <c r="AL426" i="119"/>
  <c r="J75" i="120" a="1"/>
  <c r="J75" i="120"/>
  <c r="J315" i="120" a="1"/>
  <c r="J315" i="120"/>
  <c r="AL211" i="119"/>
  <c r="AL282" i="119"/>
  <c r="J273" i="120" a="1"/>
  <c r="J273" i="120"/>
  <c r="J375" i="120" a="1"/>
  <c r="J375" i="120"/>
  <c r="J162" i="120" a="1"/>
  <c r="J162" i="120"/>
  <c r="AL700" i="119"/>
  <c r="J393" i="120" a="1"/>
  <c r="J393" i="120"/>
  <c r="J78" i="120" a="1"/>
  <c r="J78" i="120"/>
  <c r="AL661" i="119"/>
  <c r="AL463" i="119"/>
  <c r="AL694" i="119"/>
  <c r="J341" i="120" a="1"/>
  <c r="J341" i="120"/>
  <c r="J346" i="120" a="1"/>
  <c r="J346" i="120"/>
  <c r="J132" i="120" a="1"/>
  <c r="J132" i="120"/>
  <c r="AL113" i="119"/>
  <c r="AL676" i="119"/>
  <c r="AL48" i="119"/>
  <c r="AL601" i="119"/>
  <c r="J324" i="120" a="1"/>
  <c r="J324" i="120"/>
  <c r="J304" i="120" a="1"/>
  <c r="J304" i="120"/>
  <c r="AL728" i="119"/>
  <c r="AL595" i="119"/>
  <c r="AL720" i="119"/>
  <c r="AL716" i="119"/>
  <c r="J44" i="120" a="1"/>
  <c r="J44" i="120"/>
  <c r="AL36" i="119"/>
  <c r="AL196" i="119"/>
  <c r="AL379" i="119"/>
  <c r="AL614" i="119"/>
  <c r="AL754" i="119"/>
  <c r="AL372" i="119"/>
  <c r="J395" i="120" a="1"/>
  <c r="J395" i="120"/>
  <c r="AL269" i="119"/>
  <c r="AL390" i="119"/>
  <c r="AL761" i="119"/>
  <c r="AL368" i="119"/>
  <c r="AL510" i="119"/>
  <c r="AL74" i="119"/>
  <c r="AL469" i="119"/>
  <c r="AL262" i="119"/>
  <c r="J420" i="120" a="1"/>
  <c r="J420" i="120"/>
  <c r="AL449" i="119"/>
  <c r="AL89" i="119"/>
  <c r="J385" i="120" a="1"/>
  <c r="J385" i="120"/>
  <c r="AL209" i="119"/>
  <c r="AL115" i="119"/>
  <c r="J309" i="120" a="1"/>
  <c r="J309" i="120"/>
  <c r="AL543" i="119"/>
  <c r="AL518" i="119"/>
  <c r="AL688" i="119"/>
  <c r="AL308" i="119"/>
  <c r="AL695" i="119"/>
  <c r="AL230" i="119"/>
  <c r="J287" i="120" a="1"/>
  <c r="J287" i="120"/>
  <c r="J266" i="120" a="1"/>
  <c r="J266" i="120"/>
  <c r="J484" i="120" a="1"/>
  <c r="J484" i="120"/>
  <c r="J478" i="120" a="1"/>
  <c r="J478" i="120"/>
  <c r="AL123" i="119"/>
  <c r="AL774" i="119"/>
  <c r="J482" i="120" a="1"/>
  <c r="J482" i="120"/>
  <c r="J444" i="120" a="1"/>
  <c r="J444" i="120"/>
  <c r="J87" i="120" a="1"/>
  <c r="J87" i="120"/>
  <c r="AL797" i="119"/>
  <c r="J184" i="120" a="1"/>
  <c r="J184" i="120"/>
  <c r="J439" i="120" a="1"/>
  <c r="J439" i="120"/>
  <c r="AL71" i="119"/>
  <c r="AL67" i="119"/>
  <c r="AL712" i="119"/>
  <c r="AL692" i="119"/>
  <c r="AL301" i="119"/>
  <c r="AL266" i="119"/>
  <c r="J190" i="120" a="1"/>
  <c r="J190" i="120"/>
  <c r="J380" i="120" a="1"/>
  <c r="J380" i="120"/>
  <c r="J143" i="120" a="1"/>
  <c r="J143" i="120"/>
  <c r="J119" i="120" a="1"/>
  <c r="J119" i="120"/>
  <c r="AL520" i="119"/>
  <c r="AL229" i="119"/>
  <c r="J465" i="120" a="1"/>
  <c r="J465" i="120"/>
  <c r="J276" i="120" a="1"/>
  <c r="J276" i="120"/>
  <c r="J331" i="120" a="1"/>
  <c r="J331" i="120"/>
  <c r="AL155" i="119"/>
  <c r="AL413" i="119"/>
  <c r="AL536" i="119"/>
  <c r="AL592" i="119"/>
  <c r="AL585" i="119"/>
  <c r="AL690" i="119"/>
  <c r="AL35" i="119"/>
  <c r="AL789" i="119"/>
  <c r="AL702" i="119"/>
  <c r="AL253" i="119"/>
  <c r="AL765" i="119"/>
  <c r="J473" i="120" a="1"/>
  <c r="J473" i="120"/>
  <c r="AL44" i="119"/>
  <c r="AL249" i="119"/>
  <c r="AL729" i="119"/>
  <c r="AL794" i="119"/>
  <c r="AL223" i="119"/>
  <c r="J282" i="120" a="1"/>
  <c r="J282" i="120"/>
  <c r="J111" i="120" a="1"/>
  <c r="J111" i="120"/>
  <c r="AL88" i="119"/>
  <c r="AL42" i="119"/>
  <c r="AL222" i="119"/>
  <c r="J445" i="120" a="1"/>
  <c r="J445" i="120"/>
  <c r="AL176" i="119"/>
  <c r="AL590" i="119"/>
  <c r="AL296" i="119"/>
  <c r="AL599" i="119"/>
  <c r="AL163" i="119"/>
  <c r="J152" i="120" a="1"/>
  <c r="J152" i="120"/>
  <c r="J387" i="120" a="1"/>
  <c r="J387" i="120"/>
  <c r="AL574" i="119"/>
  <c r="AL295" i="119"/>
  <c r="AL432" i="119"/>
  <c r="AL72" i="119"/>
  <c r="AL334" i="119"/>
  <c r="AL431" i="119"/>
  <c r="J114" i="120" a="1"/>
  <c r="J114" i="120"/>
  <c r="J483" i="120" a="1"/>
  <c r="J483" i="120"/>
  <c r="AL275" i="119"/>
  <c r="J37" i="120" a="1"/>
  <c r="J37" i="120"/>
  <c r="J376" i="120" a="1"/>
  <c r="J376" i="120"/>
  <c r="J327" i="120" a="1"/>
  <c r="J327" i="120"/>
  <c r="AL647" i="119"/>
  <c r="AL9" i="119"/>
  <c r="AL24" i="119"/>
  <c r="J49" i="120" a="1"/>
  <c r="J49" i="120"/>
  <c r="AL167" i="119"/>
  <c r="J421" i="120" a="1"/>
  <c r="J421" i="120"/>
  <c r="J298" i="120" a="1"/>
  <c r="J298" i="120"/>
  <c r="AL331" i="119"/>
  <c r="J390" i="120" a="1"/>
  <c r="J390" i="120"/>
  <c r="AL371" i="119"/>
  <c r="AL462" i="119"/>
  <c r="AL517" i="119"/>
  <c r="AL387" i="119"/>
  <c r="J124" i="120" a="1"/>
  <c r="J124" i="120"/>
  <c r="AL415" i="119"/>
  <c r="AL423" i="119"/>
  <c r="AL796" i="119"/>
  <c r="AL456" i="119"/>
  <c r="AL663" i="119"/>
  <c r="AL291" i="119"/>
  <c r="AL177" i="119"/>
  <c r="J351" i="120" a="1"/>
  <c r="J351" i="120"/>
  <c r="AL529" i="119"/>
  <c r="J54" i="120" a="1"/>
  <c r="J54" i="120"/>
  <c r="J449" i="120" a="1"/>
  <c r="J449" i="120"/>
  <c r="AL352" i="119"/>
  <c r="J165" i="120" a="1"/>
  <c r="J165" i="120"/>
  <c r="AL594" i="119"/>
  <c r="J167" i="120" a="1"/>
  <c r="J167" i="120"/>
  <c r="AL495" i="119"/>
  <c r="AL484" i="119"/>
  <c r="AL41" i="119"/>
  <c r="AL166" i="119"/>
  <c r="J120" i="120" a="1"/>
  <c r="J120" i="120"/>
  <c r="J66" i="120" a="1"/>
  <c r="J66" i="120"/>
  <c r="AL481" i="119"/>
  <c r="J388" i="120" a="1"/>
  <c r="J388" i="120"/>
  <c r="AL314" i="119"/>
  <c r="AL725" i="119"/>
  <c r="J353" i="120" a="1"/>
  <c r="J353" i="120"/>
  <c r="AL339" i="119"/>
  <c r="J210" i="120" a="1"/>
  <c r="J210" i="120"/>
  <c r="J122" i="120" a="1"/>
  <c r="J122" i="120"/>
  <c r="AL674" i="119"/>
  <c r="AL142" i="119"/>
  <c r="AL15" i="119"/>
  <c r="AL180" i="119"/>
  <c r="AL292" i="119"/>
  <c r="J339" i="120" a="1"/>
  <c r="J339" i="120"/>
  <c r="AL130" i="119"/>
  <c r="AL401" i="119"/>
  <c r="AL185" i="119"/>
  <c r="AL181" i="119"/>
  <c r="AL343" i="119"/>
  <c r="AL198" i="119"/>
  <c r="AL151" i="119"/>
  <c r="J362" i="120" a="1"/>
  <c r="J362" i="120"/>
  <c r="AL677" i="119"/>
  <c r="AL580" i="119"/>
  <c r="AL90" i="119"/>
  <c r="AL303" i="119"/>
  <c r="AL241" i="119"/>
  <c r="J284" i="120" a="1"/>
  <c r="J284" i="120"/>
  <c r="J69" i="120" a="1"/>
  <c r="J69" i="120"/>
  <c r="AL199" i="119"/>
  <c r="J256" i="120" a="1"/>
  <c r="J256" i="120"/>
  <c r="AL194" i="119"/>
  <c r="J208" i="120" a="1"/>
  <c r="J208" i="120"/>
  <c r="AL417" i="119"/>
  <c r="J236" i="120" a="1"/>
  <c r="J236" i="120"/>
  <c r="AL740" i="119"/>
  <c r="J496" i="120" a="1"/>
  <c r="J496" i="120"/>
  <c r="AL357" i="119"/>
  <c r="AL86" i="119"/>
  <c r="AL624" i="119"/>
  <c r="J466" i="120" a="1"/>
  <c r="J466" i="120"/>
  <c r="AL416" i="119"/>
  <c r="J169" i="120" a="1"/>
  <c r="J169" i="120"/>
  <c r="J319" i="120" a="1"/>
  <c r="J319" i="120"/>
  <c r="AL711" i="119"/>
  <c r="AL171" i="119"/>
  <c r="J70" i="120" a="1"/>
  <c r="J70" i="120"/>
  <c r="AL438" i="119"/>
  <c r="AL578" i="119"/>
  <c r="AL317" i="119"/>
  <c r="AL722" i="119"/>
  <c r="J366" i="120" a="1"/>
  <c r="J366" i="120"/>
  <c r="J401" i="120" a="1"/>
  <c r="J401" i="120"/>
  <c r="AL659" i="119"/>
  <c r="AL354" i="119"/>
  <c r="AL342" i="119"/>
  <c r="J498" i="120" a="1"/>
  <c r="J498" i="120"/>
  <c r="AL165" i="119"/>
  <c r="J279" i="120" a="1"/>
  <c r="J279" i="120"/>
  <c r="AL404" i="119"/>
  <c r="AL548" i="119"/>
  <c r="J497" i="120" a="1"/>
  <c r="J497" i="120"/>
  <c r="AL468" i="119"/>
  <c r="AL161" i="119"/>
  <c r="AL430" i="119"/>
  <c r="AL193" i="119"/>
  <c r="AL358" i="119"/>
  <c r="AL733" i="119"/>
  <c r="AL252" i="119"/>
  <c r="AL28" i="119"/>
  <c r="AL607" i="119"/>
  <c r="J206" i="120" a="1"/>
  <c r="J206" i="120"/>
  <c r="AL593" i="119"/>
  <c r="J74" i="120" a="1"/>
  <c r="J74" i="120"/>
  <c r="AL604" i="119"/>
  <c r="J335" i="120" a="1"/>
  <c r="J335" i="120"/>
  <c r="J300" i="120" a="1"/>
  <c r="J300" i="120"/>
  <c r="J168" i="120" a="1"/>
  <c r="J168" i="120"/>
  <c r="J185" i="120" a="1"/>
  <c r="J185" i="120"/>
  <c r="AL791" i="119"/>
  <c r="AL225" i="119"/>
  <c r="AL238" i="119"/>
  <c r="AL187" i="119"/>
  <c r="AL335" i="119"/>
  <c r="AL132" i="119"/>
  <c r="AL104" i="119"/>
  <c r="J430" i="120" a="1"/>
  <c r="J430" i="120"/>
  <c r="J243" i="120" a="1"/>
  <c r="J243" i="120"/>
  <c r="AL703" i="119"/>
  <c r="AL533" i="119"/>
  <c r="AL160" i="119"/>
  <c r="AL734" i="119"/>
  <c r="AL583" i="119"/>
  <c r="AL542" i="119"/>
  <c r="J460" i="120" a="1"/>
  <c r="J460" i="120"/>
  <c r="AL763" i="119"/>
  <c r="AL337" i="119"/>
  <c r="AL554" i="119"/>
  <c r="AL735" i="119"/>
  <c r="AL388" i="119"/>
  <c r="AL83" i="119"/>
  <c r="J248" i="120" a="1"/>
  <c r="J248" i="120"/>
  <c r="J84" i="120" a="1"/>
  <c r="J84" i="120"/>
  <c r="AL101" i="119"/>
  <c r="J373" i="120" a="1"/>
  <c r="J373" i="120"/>
  <c r="AL98" i="119"/>
  <c r="AL748" i="119"/>
  <c r="AL710" i="119"/>
  <c r="AL629" i="119"/>
  <c r="J350" i="120" a="1"/>
  <c r="J350" i="120"/>
  <c r="AL406" i="119"/>
  <c r="AL558" i="119"/>
  <c r="AL108" i="119"/>
  <c r="AL78" i="119"/>
  <c r="AL117" i="119"/>
  <c r="AL256" i="119"/>
  <c r="AL766" i="119"/>
  <c r="AL392" i="119"/>
  <c r="AL121" i="119"/>
  <c r="AL630" i="119"/>
  <c r="AL276" i="119"/>
  <c r="AL328" i="119"/>
  <c r="J238" i="120" a="1"/>
  <c r="J238" i="120"/>
  <c r="J164" i="120" a="1"/>
  <c r="J164" i="120"/>
  <c r="AL298" i="119"/>
  <c r="AL6" i="119"/>
  <c r="AL667" i="119"/>
  <c r="AL302" i="119"/>
  <c r="AL152" i="119"/>
  <c r="J398" i="120" a="1"/>
  <c r="J398" i="120"/>
  <c r="AL84" i="119"/>
  <c r="AL173" i="119"/>
  <c r="AL327" i="119"/>
  <c r="AL570" i="119"/>
  <c r="J230" i="120" a="1"/>
  <c r="J230" i="120"/>
  <c r="AL22" i="119"/>
  <c r="J224" i="120" a="1"/>
  <c r="J224" i="120"/>
  <c r="J31" i="120" a="1"/>
  <c r="J31" i="120"/>
  <c r="AL571" i="119"/>
  <c r="J325" i="120" a="1"/>
  <c r="J325" i="120"/>
  <c r="J45" i="120" a="1"/>
  <c r="J45" i="120"/>
  <c r="AL685" i="119"/>
  <c r="AL255" i="119"/>
  <c r="AL285" i="119"/>
  <c r="AL247" i="119"/>
  <c r="AL731" i="119"/>
  <c r="J313" i="120" a="1"/>
  <c r="J313" i="120"/>
  <c r="AL502" i="119"/>
  <c r="J285" i="120" a="1"/>
  <c r="J285" i="120"/>
  <c r="J193" i="120" a="1"/>
  <c r="J193" i="120"/>
  <c r="AL202" i="119"/>
  <c r="AL572" i="119"/>
  <c r="AL218" i="119"/>
  <c r="J93" i="120" a="1"/>
  <c r="J93" i="120"/>
  <c r="J64" i="120" a="1"/>
  <c r="J64" i="120"/>
  <c r="J258" i="120" a="1"/>
  <c r="J258" i="120"/>
  <c r="J487" i="120" a="1"/>
  <c r="J487" i="120"/>
  <c r="J355" i="120" a="1"/>
  <c r="J355" i="120"/>
  <c r="AL764" i="119"/>
  <c r="J180" i="120" a="1"/>
  <c r="J180" i="120"/>
  <c r="J62" i="120" a="1"/>
  <c r="J62" i="120"/>
  <c r="AL576" i="119"/>
  <c r="AL448" i="119"/>
  <c r="J125" i="120" a="1"/>
  <c r="J125" i="120"/>
  <c r="AL503" i="119"/>
  <c r="AL718" i="119"/>
  <c r="AL338" i="119"/>
  <c r="J452" i="120" a="1"/>
  <c r="J452" i="120"/>
  <c r="AL92" i="119"/>
  <c r="AL284" i="119"/>
  <c r="J461" i="120" a="1"/>
  <c r="J461" i="120"/>
  <c r="AL162" i="119"/>
  <c r="AL56" i="119"/>
  <c r="AL203" i="119"/>
  <c r="AL597" i="119"/>
  <c r="AL480" i="119"/>
  <c r="AL619" i="119"/>
  <c r="AL704" i="119"/>
  <c r="AL770" i="119"/>
  <c r="AL421" i="119"/>
  <c r="J36" i="120" a="1"/>
  <c r="J36" i="120"/>
  <c r="J56" i="120" a="1"/>
  <c r="J56" i="120"/>
  <c r="J443" i="120" a="1"/>
  <c r="J443" i="120"/>
  <c r="AL102" i="119"/>
  <c r="J268" i="120" a="1"/>
  <c r="J268" i="120"/>
  <c r="AL589" i="119"/>
  <c r="J415" i="120" a="1"/>
  <c r="J415" i="120"/>
  <c r="AL348" i="119"/>
  <c r="J153" i="120" a="1"/>
  <c r="J153" i="120"/>
  <c r="AL25" i="119"/>
  <c r="J25" i="120" a="1"/>
  <c r="J25" i="120"/>
  <c r="AL200" i="119"/>
  <c r="J105" i="120" a="1"/>
  <c r="J105" i="120"/>
  <c r="J203" i="120" a="1"/>
  <c r="J203" i="120"/>
  <c r="AL556" i="119"/>
  <c r="J370" i="120" a="1"/>
  <c r="J370" i="120"/>
  <c r="J191" i="120" a="1"/>
  <c r="J191" i="120"/>
  <c r="AL286" i="119"/>
  <c r="AL188" i="119"/>
  <c r="J148" i="120" a="1"/>
  <c r="J148" i="120"/>
  <c r="AL373" i="119"/>
  <c r="AL741" i="119"/>
  <c r="AL386" i="119"/>
  <c r="AL496" i="119"/>
  <c r="AL490" i="119"/>
  <c r="AL782" i="119"/>
  <c r="AL634" i="119"/>
  <c r="J204" i="120" a="1"/>
  <c r="J204" i="120"/>
  <c r="AL526" i="119"/>
  <c r="AL504" i="119"/>
  <c r="J9" i="120" a="1"/>
  <c r="J9" i="120"/>
  <c r="AL724" i="119"/>
  <c r="AL798" i="119"/>
  <c r="AL439" i="119"/>
  <c r="AL544" i="119"/>
  <c r="J407" i="120" a="1"/>
  <c r="J407" i="120"/>
  <c r="AL397" i="119"/>
  <c r="AL378" i="119"/>
  <c r="AL52" i="119"/>
  <c r="AL351" i="119"/>
  <c r="AL778" i="119"/>
  <c r="AL362" i="119"/>
  <c r="AL550" i="119"/>
  <c r="AL428" i="119"/>
  <c r="AL363" i="119"/>
  <c r="AL569" i="119"/>
  <c r="AL577" i="119"/>
  <c r="AL156" i="119"/>
  <c r="J302" i="120" a="1"/>
  <c r="J302" i="120"/>
  <c r="AL153" i="119"/>
  <c r="AL96" i="119"/>
  <c r="AL383" i="119"/>
  <c r="AL131" i="119"/>
  <c r="J1" i="119"/>
  <c r="AL507" i="119"/>
  <c r="AL145" i="119"/>
  <c r="AL105" i="119"/>
  <c r="AL759" i="119"/>
  <c r="AL407" i="119"/>
  <c r="AL523" i="119"/>
  <c r="AL33" i="119"/>
  <c r="J317" i="120" a="1"/>
  <c r="J317" i="120"/>
  <c r="AL370" i="119"/>
  <c r="AL326" i="119"/>
  <c r="AL341" i="119"/>
  <c r="AL545" i="119"/>
  <c r="AL785" i="119"/>
  <c r="AL212" i="119"/>
  <c r="J316" i="120" a="1"/>
  <c r="J316" i="120"/>
  <c r="J293" i="120" a="1"/>
  <c r="J293" i="120"/>
  <c r="J129" i="120" a="1"/>
  <c r="J129" i="120"/>
  <c r="J80" i="120" a="1"/>
  <c r="J80" i="120"/>
  <c r="AL780" i="119"/>
  <c r="AL182" i="119"/>
  <c r="AL425" i="119"/>
  <c r="AL555" i="119"/>
  <c r="AL451" i="119"/>
  <c r="J423" i="120" a="1"/>
  <c r="J423" i="120"/>
  <c r="AL603" i="119"/>
  <c r="AL281" i="119"/>
  <c r="J182" i="120" a="1"/>
  <c r="J182" i="120"/>
  <c r="AL141" i="119"/>
  <c r="AL75" i="119"/>
  <c r="AL58" i="119"/>
  <c r="AL636" i="119"/>
  <c r="AL37" i="119"/>
  <c r="AL85" i="119"/>
  <c r="AL541" i="119"/>
  <c r="J275" i="120" a="1"/>
  <c r="J275" i="120"/>
  <c r="AL150" i="119"/>
  <c r="AL8" i="119"/>
  <c r="AL631" i="119"/>
  <c r="AL239" i="119"/>
  <c r="J144" i="120" a="1"/>
  <c r="J144" i="120"/>
  <c r="AL465" i="119"/>
  <c r="AL736" i="119"/>
  <c r="AL608" i="119"/>
  <c r="AL457" i="119"/>
  <c r="AL148" i="119"/>
  <c r="AL154" i="119"/>
  <c r="AL50" i="119"/>
  <c r="AL686" i="119"/>
  <c r="AL224" i="119"/>
  <c r="AL768" i="119"/>
  <c r="AL350" i="119"/>
  <c r="AL122" i="119"/>
  <c r="AL506" i="119"/>
  <c r="AL696" i="119"/>
  <c r="AL730" i="119"/>
  <c r="AL40" i="119"/>
  <c r="AL87" i="119"/>
  <c r="AL483" i="119"/>
  <c r="AL587" i="119"/>
  <c r="J134" i="120" a="1"/>
  <c r="J134" i="120"/>
  <c r="J329" i="120" a="1"/>
  <c r="J329" i="120"/>
  <c r="AL120" i="119"/>
  <c r="AL26" i="119"/>
  <c r="AL723" i="119"/>
  <c r="AL509" i="119"/>
  <c r="J178" i="120" a="1"/>
  <c r="J178" i="120"/>
  <c r="AL360" i="119"/>
  <c r="AL409" i="119"/>
  <c r="J177" i="120" a="1"/>
  <c r="J177" i="120"/>
  <c r="AL788" i="119"/>
  <c r="J213" i="120" a="1"/>
  <c r="J213" i="120"/>
  <c r="AL459" i="119"/>
  <c r="AL147" i="119"/>
  <c r="AL382" i="119"/>
  <c r="AL605" i="119"/>
  <c r="J485" i="120" a="1"/>
  <c r="J485" i="120"/>
  <c r="AL420" i="119"/>
  <c r="J198" i="120" a="1"/>
  <c r="J198" i="120"/>
  <c r="AL551" i="119"/>
  <c r="J490" i="120" a="1"/>
  <c r="J490" i="120"/>
  <c r="AL508" i="119"/>
  <c r="J127" i="120" a="1"/>
  <c r="J127" i="120"/>
  <c r="AL159" i="119"/>
  <c r="J147" i="120" a="1"/>
  <c r="J147" i="120"/>
  <c r="AL751" i="119"/>
  <c r="J400" i="120" a="1"/>
  <c r="J400" i="120"/>
  <c r="J259" i="120" a="1"/>
  <c r="J259" i="120"/>
  <c r="J72" i="120" a="1"/>
  <c r="J72" i="120"/>
  <c r="J428" i="120" a="1"/>
  <c r="J428" i="120"/>
  <c r="AL611" i="119"/>
  <c r="AL528" i="119"/>
  <c r="AL649" i="119"/>
  <c r="AL560" i="119"/>
  <c r="J347" i="120" a="1"/>
  <c r="J347" i="120"/>
  <c r="J22" i="120" a="1"/>
  <c r="J22" i="120"/>
  <c r="J13" i="120" a="1"/>
  <c r="J13" i="120"/>
  <c r="J356" i="120" a="1"/>
  <c r="J356" i="120"/>
  <c r="J14" i="120" a="1"/>
  <c r="J14" i="120"/>
  <c r="AL380" i="119"/>
  <c r="AL683" i="119"/>
  <c r="AL100" i="119"/>
  <c r="AL192" i="119"/>
  <c r="J131" i="120" a="1"/>
  <c r="J131" i="120"/>
  <c r="AL340" i="119"/>
  <c r="J112" i="120" a="1"/>
  <c r="J112" i="120"/>
  <c r="AL47" i="119"/>
  <c r="AL422" i="119"/>
  <c r="AL197" i="119"/>
  <c r="AL628" i="119"/>
  <c r="AL781" i="119"/>
  <c r="AL489" i="119"/>
  <c r="AL168" i="119"/>
  <c r="AL146" i="119"/>
  <c r="AL521" i="119"/>
  <c r="AL257" i="119"/>
  <c r="AL94" i="119"/>
  <c r="AL126" i="119"/>
  <c r="AL93" i="119"/>
  <c r="AL215" i="119"/>
  <c r="AL313" i="119"/>
  <c r="AL356" i="119"/>
  <c r="AL584" i="119"/>
  <c r="AL767" i="119"/>
  <c r="AL323" i="119"/>
  <c r="AL470" i="119"/>
  <c r="AL591" i="119"/>
  <c r="AL557" i="119"/>
  <c r="AL398" i="119"/>
  <c r="AL106" i="119"/>
  <c r="AL437" i="119"/>
  <c r="AL236" i="119"/>
  <c r="AL539" i="119"/>
  <c r="AL347" i="119"/>
  <c r="AL622" i="119"/>
  <c r="AL476" i="119"/>
  <c r="AL709" i="119"/>
  <c r="AQ8" i="119"/>
  <c r="A9" i="119"/>
  <c r="D2" i="119"/>
  <c r="AP188" i="120"/>
  <c r="AL108" i="120"/>
  <c r="AN360" i="120"/>
  <c r="AO61" i="120"/>
  <c r="AL438" i="120"/>
  <c r="AP197" i="120"/>
  <c r="AP476" i="120"/>
  <c r="AO456" i="120"/>
  <c r="AO250" i="120"/>
  <c r="AO126" i="120"/>
  <c r="AO33" i="120"/>
  <c r="AO321" i="120"/>
  <c r="AP234" i="120"/>
  <c r="AN432" i="120"/>
  <c r="AN35" i="120"/>
  <c r="AP150" i="120"/>
  <c r="AO332" i="120"/>
  <c r="AO92" i="120"/>
  <c r="AL247" i="120"/>
  <c r="AP349" i="120"/>
  <c r="AL15" i="120"/>
  <c r="AO359" i="120"/>
  <c r="AL494" i="120"/>
  <c r="AL270" i="120"/>
  <c r="AP377" i="120"/>
  <c r="AN23" i="120"/>
  <c r="AN188" i="120"/>
  <c r="AO471" i="120"/>
  <c r="AL469" i="120"/>
  <c r="J469" i="120" a="1"/>
  <c r="J469" i="120"/>
  <c r="J471" i="120" a="1"/>
  <c r="J471" i="120"/>
  <c r="J23" i="120" a="1"/>
  <c r="J23" i="120"/>
  <c r="J377" i="120" a="1"/>
  <c r="J377" i="120"/>
  <c r="J270" i="120" a="1"/>
  <c r="J270" i="120"/>
  <c r="J494" i="120" a="1"/>
  <c r="J494" i="120"/>
  <c r="J359" i="120" a="1"/>
  <c r="J359" i="120"/>
  <c r="J15" i="120" a="1"/>
  <c r="J15" i="120"/>
  <c r="J349" i="120" a="1"/>
  <c r="J349" i="120"/>
  <c r="J247" i="120" a="1"/>
  <c r="J247" i="120"/>
  <c r="J92" i="120" a="1"/>
  <c r="J92" i="120"/>
  <c r="J332" i="120" a="1"/>
  <c r="J332" i="120"/>
  <c r="J150" i="120" a="1"/>
  <c r="J150" i="120"/>
  <c r="J35" i="120" a="1"/>
  <c r="J35" i="120"/>
  <c r="J432" i="120" a="1"/>
  <c r="J432" i="120"/>
  <c r="J234" i="120" a="1"/>
  <c r="J234" i="120"/>
  <c r="J321" i="120" a="1"/>
  <c r="J321" i="120"/>
  <c r="J33" i="120" a="1"/>
  <c r="J33" i="120"/>
  <c r="J126" i="120" a="1"/>
  <c r="J126" i="120"/>
  <c r="J250" i="120" a="1"/>
  <c r="J250" i="120"/>
  <c r="J456" i="120" a="1"/>
  <c r="J456" i="120"/>
  <c r="J476" i="120" a="1"/>
  <c r="J476" i="120"/>
  <c r="J197" i="120" a="1"/>
  <c r="J197" i="120"/>
  <c r="J438" i="120" a="1"/>
  <c r="J438" i="120"/>
  <c r="J61" i="120" a="1"/>
  <c r="J61" i="120"/>
  <c r="J360" i="120" a="1"/>
  <c r="J360" i="120"/>
  <c r="J108" i="120" a="1"/>
  <c r="J108" i="120"/>
  <c r="J188" i="120" a="1"/>
  <c r="J188" i="120"/>
  <c r="AP9" i="119"/>
  <c r="AQ9" i="119"/>
  <c r="A10" i="119"/>
  <c r="AR9" i="119" a="1"/>
  <c r="AR9" i="119"/>
  <c r="A11" i="119"/>
  <c r="AP10" i="119"/>
  <c r="AQ10" i="119"/>
  <c r="AR10" i="119" a="1"/>
  <c r="AR10" i="119"/>
  <c r="AP11" i="119"/>
  <c r="A12" i="119"/>
  <c r="AQ11" i="119"/>
  <c r="AR11" i="119" a="1"/>
  <c r="AR11" i="119"/>
  <c r="AP12" i="119"/>
  <c r="A13" i="119"/>
  <c r="AQ12" i="119"/>
  <c r="AR12" i="119" a="1"/>
  <c r="AR12" i="119"/>
  <c r="AP13" i="119"/>
  <c r="AQ13" i="119"/>
  <c r="A14" i="119"/>
  <c r="AR13" i="119" a="1"/>
  <c r="AR13" i="119"/>
  <c r="A15" i="119"/>
  <c r="AQ14" i="119"/>
  <c r="AP14" i="119"/>
  <c r="AR14" i="119" a="1"/>
  <c r="AR14" i="119"/>
  <c r="A16" i="119"/>
  <c r="AP15" i="119"/>
  <c r="AQ15" i="119"/>
  <c r="AR15" i="119" a="1"/>
  <c r="AR15" i="119"/>
  <c r="AP16" i="119"/>
  <c r="A17" i="119"/>
  <c r="AQ16" i="119"/>
  <c r="AR16" i="119" a="1"/>
  <c r="AR16" i="119"/>
  <c r="AP17" i="119"/>
  <c r="A18" i="119"/>
  <c r="AQ17" i="119"/>
  <c r="AR17" i="119" a="1"/>
  <c r="AR17" i="119"/>
  <c r="A19" i="119"/>
  <c r="AQ18" i="119"/>
  <c r="AP18" i="119"/>
  <c r="AR18" i="119" a="1"/>
  <c r="AR18" i="119"/>
  <c r="A20" i="119"/>
  <c r="AP19" i="119"/>
  <c r="AQ19" i="119"/>
  <c r="AR19" i="119" a="1"/>
  <c r="AR19" i="119"/>
  <c r="AP20" i="119"/>
  <c r="A21" i="119"/>
  <c r="AQ20" i="119"/>
  <c r="AR20" i="119" a="1"/>
  <c r="AR20" i="119"/>
  <c r="AQ21" i="119"/>
  <c r="A22" i="119"/>
  <c r="AP21" i="119"/>
  <c r="AR21" i="119" a="1"/>
  <c r="AR21" i="119"/>
  <c r="A23" i="119"/>
  <c r="AQ22" i="119"/>
  <c r="AP22" i="119"/>
  <c r="AR22" i="119" a="1"/>
  <c r="AR22" i="119"/>
  <c r="AQ23" i="119"/>
  <c r="A24" i="119"/>
  <c r="AP23" i="119"/>
  <c r="AR23" i="119" a="1"/>
  <c r="AR23" i="119"/>
  <c r="AQ24" i="119"/>
  <c r="AP24" i="119"/>
  <c r="A25" i="119"/>
  <c r="AR24" i="119" a="1"/>
  <c r="AR24" i="119"/>
  <c r="AP25" i="119"/>
  <c r="AQ25" i="119"/>
  <c r="A26" i="119"/>
  <c r="AR25" i="119" a="1"/>
  <c r="AR25" i="119"/>
  <c r="A27" i="119"/>
  <c r="AP26" i="119"/>
  <c r="AQ26" i="119"/>
  <c r="AR26" i="119" a="1"/>
  <c r="AR26" i="119"/>
  <c r="AQ27" i="119"/>
  <c r="AP27" i="119"/>
  <c r="A28" i="119"/>
  <c r="AR27" i="119" a="1"/>
  <c r="AR27" i="119"/>
  <c r="AP28" i="119"/>
  <c r="A29" i="119"/>
  <c r="AQ28" i="119"/>
  <c r="AR28" i="119" a="1"/>
  <c r="AR28" i="119"/>
  <c r="AP29" i="119"/>
  <c r="A30" i="119"/>
  <c r="AQ29" i="119"/>
  <c r="AR29" i="119" a="1"/>
  <c r="AR29" i="119"/>
  <c r="A31" i="119"/>
  <c r="AP30" i="119"/>
  <c r="AQ30" i="119"/>
  <c r="AR30" i="119" a="1"/>
  <c r="AR30" i="119"/>
  <c r="A32" i="119"/>
  <c r="AQ31" i="119"/>
  <c r="AP31" i="119"/>
  <c r="AR31" i="119" a="1"/>
  <c r="AR31" i="119"/>
  <c r="AQ32" i="119"/>
  <c r="A33" i="119"/>
  <c r="AP32" i="119"/>
  <c r="AR32" i="119" a="1"/>
  <c r="AR32" i="119"/>
  <c r="AQ33" i="119"/>
  <c r="A34" i="119"/>
  <c r="AP33" i="119"/>
  <c r="AR33" i="119" a="1"/>
  <c r="AR33" i="119"/>
  <c r="A35" i="119"/>
  <c r="AP34" i="119"/>
  <c r="AQ34" i="119"/>
  <c r="AR34" i="119" a="1"/>
  <c r="AR34" i="119"/>
  <c r="A36" i="119"/>
  <c r="AP35" i="119"/>
  <c r="AQ35" i="119"/>
  <c r="AR35" i="119" a="1"/>
  <c r="AR35" i="119"/>
  <c r="AP36" i="119"/>
  <c r="A37" i="119"/>
  <c r="AQ36" i="119"/>
  <c r="AR36" i="119" a="1"/>
  <c r="AR36" i="119"/>
  <c r="AQ37" i="119"/>
  <c r="A38" i="119"/>
  <c r="AP37" i="119"/>
  <c r="AR37" i="119" a="1"/>
  <c r="AR37" i="119"/>
  <c r="A39" i="119"/>
  <c r="AQ38" i="119"/>
  <c r="AP38" i="119"/>
  <c r="AR38" i="119" a="1"/>
  <c r="AR38" i="119"/>
  <c r="AQ39" i="119"/>
  <c r="AP39" i="119"/>
  <c r="A40" i="119"/>
  <c r="AR39" i="119" a="1"/>
  <c r="AR39" i="119"/>
  <c r="AQ40" i="119"/>
  <c r="AP40" i="119"/>
  <c r="A41" i="119"/>
  <c r="AR40" i="119" a="1"/>
  <c r="AR40" i="119"/>
  <c r="AQ41" i="119"/>
  <c r="AP41" i="119"/>
  <c r="A42" i="119"/>
  <c r="AR41" i="119" a="1"/>
  <c r="AR41" i="119"/>
  <c r="A43" i="119"/>
  <c r="AQ42" i="119"/>
  <c r="AP42" i="119"/>
  <c r="AR42" i="119" a="1"/>
  <c r="AR42" i="119"/>
  <c r="AQ43" i="119"/>
  <c r="A44" i="119"/>
  <c r="AP43" i="119"/>
  <c r="AR43" i="119" a="1"/>
  <c r="AR43" i="119"/>
  <c r="AP44" i="119"/>
  <c r="AQ44" i="119"/>
  <c r="A45" i="119"/>
  <c r="AR44" i="119" a="1"/>
  <c r="AR44" i="119"/>
  <c r="AP45" i="119"/>
  <c r="A46" i="119"/>
  <c r="AQ45" i="119"/>
  <c r="AR45" i="119" a="1"/>
  <c r="AR45" i="119"/>
  <c r="A47" i="119"/>
  <c r="AQ46" i="119"/>
  <c r="AP46" i="119"/>
  <c r="AR46" i="119" a="1"/>
  <c r="AR46" i="119"/>
  <c r="A48" i="119"/>
  <c r="AP47" i="119"/>
  <c r="AQ47" i="119"/>
  <c r="AR47" i="119" a="1"/>
  <c r="AR47" i="119"/>
  <c r="AQ48" i="119"/>
  <c r="A49" i="119"/>
  <c r="AP48" i="119"/>
  <c r="AR48" i="119" a="1"/>
  <c r="AR48" i="119"/>
  <c r="AP49" i="119"/>
  <c r="A50" i="119"/>
  <c r="AQ49" i="119"/>
  <c r="AR49" i="119" a="1"/>
  <c r="AR49" i="119"/>
  <c r="A51" i="119"/>
  <c r="AP50" i="119"/>
  <c r="AQ50" i="119"/>
  <c r="AR50" i="119" a="1"/>
  <c r="AR50" i="119"/>
  <c r="A52" i="119"/>
  <c r="AP51" i="119"/>
  <c r="AQ51" i="119"/>
  <c r="AR51" i="119" a="1"/>
  <c r="AR51" i="119"/>
  <c r="AP52" i="119"/>
  <c r="A53" i="119"/>
  <c r="AQ52" i="119"/>
  <c r="AR52" i="119" a="1"/>
  <c r="AR52" i="119"/>
  <c r="AP53" i="119"/>
  <c r="A54" i="119"/>
  <c r="AQ53" i="119"/>
  <c r="AR53" i="119" a="1"/>
  <c r="AR53" i="119"/>
  <c r="A55" i="119"/>
  <c r="AQ54" i="119"/>
  <c r="AP54" i="119"/>
  <c r="AR54" i="119" a="1"/>
  <c r="AR54" i="119"/>
  <c r="AP55" i="119"/>
  <c r="A56" i="119"/>
  <c r="AQ55" i="119"/>
  <c r="AR55" i="119" a="1"/>
  <c r="AR55" i="119"/>
  <c r="AQ56" i="119"/>
  <c r="AP56" i="119"/>
  <c r="A57" i="119"/>
  <c r="AR56" i="119" a="1"/>
  <c r="AR56" i="119"/>
  <c r="AQ57" i="119"/>
  <c r="AP57" i="119"/>
  <c r="A58" i="119"/>
  <c r="AR57" i="119" a="1"/>
  <c r="AR57" i="119"/>
  <c r="A59" i="119"/>
  <c r="AP58" i="119"/>
  <c r="AQ58" i="119"/>
  <c r="AR58" i="119" a="1"/>
  <c r="AR58" i="119"/>
  <c r="AQ59" i="119"/>
  <c r="AP59" i="119"/>
  <c r="A60" i="119"/>
  <c r="AR59" i="119" a="1"/>
  <c r="AR59" i="119"/>
  <c r="AP60" i="119"/>
  <c r="A61" i="119"/>
  <c r="AQ60" i="119"/>
  <c r="AR60" i="119" a="1"/>
  <c r="AR60" i="119"/>
  <c r="AQ61" i="119"/>
  <c r="A62" i="119"/>
  <c r="AP61" i="119"/>
  <c r="AR61" i="119" a="1"/>
  <c r="AR61" i="119"/>
  <c r="A63" i="119"/>
  <c r="AQ62" i="119"/>
  <c r="AP62" i="119"/>
  <c r="AR62" i="119" a="1"/>
  <c r="AR62" i="119"/>
  <c r="A64" i="119"/>
  <c r="AQ63" i="119"/>
  <c r="AP63" i="119"/>
  <c r="AR63" i="119" a="1"/>
  <c r="AR63" i="119"/>
  <c r="AQ64" i="119"/>
  <c r="A65" i="119"/>
  <c r="AP64" i="119"/>
  <c r="AR64" i="119" a="1"/>
  <c r="AR64" i="119"/>
  <c r="AP65" i="119"/>
  <c r="A66" i="119"/>
  <c r="AQ65" i="119"/>
  <c r="AR65" i="119" a="1"/>
  <c r="AR65" i="119"/>
  <c r="A67" i="119"/>
  <c r="AQ66" i="119"/>
  <c r="AP66" i="119"/>
  <c r="AR66" i="119" a="1"/>
  <c r="AR66" i="119"/>
  <c r="A68" i="119"/>
  <c r="AQ67" i="119"/>
  <c r="AP67" i="119"/>
  <c r="AR67" i="119" a="1"/>
  <c r="AR67" i="119"/>
  <c r="AQ68" i="119"/>
  <c r="A69" i="119"/>
  <c r="AP68" i="119"/>
  <c r="AR68" i="119" a="1"/>
  <c r="AR68" i="119"/>
  <c r="AP69" i="119"/>
  <c r="A70" i="119"/>
  <c r="AQ69" i="119"/>
  <c r="AR69" i="119" a="1"/>
  <c r="AR69" i="119"/>
  <c r="A71" i="119"/>
  <c r="AP70" i="119"/>
  <c r="AQ70" i="119"/>
  <c r="AR70" i="119" a="1"/>
  <c r="AR70" i="119"/>
  <c r="AQ71" i="119"/>
  <c r="A72" i="119"/>
  <c r="AP71" i="119"/>
  <c r="AR71" i="119" a="1"/>
  <c r="AR71" i="119"/>
  <c r="AQ72" i="119"/>
  <c r="AP72" i="119"/>
  <c r="A73" i="119"/>
  <c r="AR72" i="119" a="1"/>
  <c r="AR72" i="119"/>
  <c r="AP73" i="119"/>
  <c r="AQ73" i="119"/>
  <c r="A74" i="119"/>
  <c r="AR73" i="119" a="1"/>
  <c r="AR73" i="119"/>
  <c r="A75" i="119"/>
  <c r="AQ74" i="119"/>
  <c r="AP74" i="119"/>
  <c r="AR74" i="119" a="1"/>
  <c r="AR74" i="119"/>
  <c r="AQ75" i="119"/>
  <c r="A76" i="119"/>
  <c r="AP75" i="119"/>
  <c r="AR75" i="119" a="1"/>
  <c r="AR75" i="119"/>
  <c r="AP76" i="119"/>
  <c r="AQ76" i="119"/>
  <c r="A77" i="119"/>
  <c r="AR76" i="119" a="1"/>
  <c r="AR76" i="119"/>
  <c r="AQ77" i="119"/>
  <c r="A78" i="119"/>
  <c r="AP77" i="119"/>
  <c r="AR77" i="119" a="1"/>
  <c r="AR77" i="119"/>
  <c r="A79" i="119"/>
  <c r="AP78" i="119"/>
  <c r="AQ78" i="119"/>
  <c r="AR78" i="119" a="1"/>
  <c r="AR78" i="119"/>
  <c r="AP79" i="119"/>
  <c r="AQ79" i="119"/>
  <c r="A80" i="119"/>
  <c r="AR79" i="119" a="1"/>
  <c r="AR79" i="119"/>
  <c r="AQ80" i="119"/>
  <c r="A81" i="119"/>
  <c r="AP80" i="119"/>
  <c r="AR80" i="119" a="1"/>
  <c r="AR80" i="119"/>
  <c r="AP81" i="119"/>
  <c r="A82" i="119"/>
  <c r="AQ81" i="119"/>
  <c r="AR81" i="119" a="1"/>
  <c r="AR81" i="119"/>
  <c r="A83" i="119"/>
  <c r="AQ82" i="119"/>
  <c r="AP82" i="119"/>
  <c r="AR82" i="119" a="1"/>
  <c r="AR82" i="119"/>
  <c r="A84" i="119"/>
  <c r="AP83" i="119"/>
  <c r="AQ83" i="119"/>
  <c r="AR83" i="119" a="1"/>
  <c r="AR83" i="119"/>
  <c r="AQ84" i="119"/>
  <c r="A85" i="119"/>
  <c r="AP84" i="119"/>
  <c r="AR84" i="119" a="1"/>
  <c r="AR84" i="119"/>
  <c r="AP85" i="119"/>
  <c r="A86" i="119"/>
  <c r="AQ85" i="119"/>
  <c r="AR85" i="119" a="1"/>
  <c r="AR85" i="119"/>
  <c r="A87" i="119"/>
  <c r="AP86" i="119"/>
  <c r="AQ86" i="119"/>
  <c r="AR86" i="119" a="1"/>
  <c r="AR86" i="119"/>
  <c r="AP87" i="119"/>
  <c r="AQ87" i="119"/>
  <c r="A88" i="119"/>
  <c r="AR87" i="119" a="1"/>
  <c r="AR87" i="119"/>
  <c r="AP88" i="119"/>
  <c r="AQ88" i="119"/>
  <c r="A89" i="119"/>
  <c r="AR88" i="119" a="1"/>
  <c r="AR88" i="119"/>
  <c r="AQ89" i="119"/>
  <c r="AP89" i="119"/>
  <c r="A90" i="119"/>
  <c r="AR89" i="119" a="1"/>
  <c r="AR89" i="119"/>
  <c r="A91" i="119"/>
  <c r="AP90" i="119"/>
  <c r="AQ90" i="119"/>
  <c r="AR90" i="119" a="1"/>
  <c r="AR90" i="119"/>
  <c r="AQ91" i="119"/>
  <c r="A92" i="119"/>
  <c r="AP91" i="119"/>
  <c r="AR91" i="119" a="1"/>
  <c r="AR91" i="119"/>
  <c r="AQ92" i="119"/>
  <c r="A93" i="119"/>
  <c r="AP92" i="119"/>
  <c r="AR92" i="119" a="1"/>
  <c r="AR92" i="119"/>
  <c r="AQ93" i="119"/>
  <c r="AP93" i="119"/>
  <c r="A94" i="119"/>
  <c r="AR93" i="119" a="1"/>
  <c r="AR93" i="119"/>
  <c r="A95" i="119"/>
  <c r="AP94" i="119"/>
  <c r="AQ94" i="119"/>
  <c r="AR94" i="119" a="1"/>
  <c r="AR94" i="119"/>
  <c r="A96" i="119"/>
  <c r="AP95" i="119"/>
  <c r="AQ95" i="119"/>
  <c r="AR95" i="119" a="1"/>
  <c r="AR95" i="119"/>
  <c r="AP96" i="119"/>
  <c r="AQ96" i="119"/>
  <c r="A97" i="119"/>
  <c r="AR96" i="119" a="1"/>
  <c r="AR96" i="119"/>
  <c r="AQ97" i="119"/>
  <c r="A98" i="119"/>
  <c r="AP97" i="119"/>
  <c r="AR97" i="119" a="1"/>
  <c r="AR97" i="119"/>
  <c r="A99" i="119"/>
  <c r="AP98" i="119"/>
  <c r="AQ98" i="119"/>
  <c r="AR98" i="119" a="1"/>
  <c r="AR98" i="119"/>
  <c r="A100" i="119"/>
  <c r="AP99" i="119"/>
  <c r="AQ99" i="119"/>
  <c r="AR99" i="119" a="1"/>
  <c r="AR99" i="119"/>
  <c r="AP100" i="119"/>
  <c r="A101" i="119"/>
  <c r="AQ100" i="119"/>
  <c r="AR100" i="119" a="1"/>
  <c r="AR100" i="119"/>
  <c r="AP101" i="119"/>
  <c r="A102" i="119"/>
  <c r="AQ101" i="119"/>
  <c r="AR101" i="119" a="1"/>
  <c r="AR101" i="119"/>
  <c r="A103" i="119"/>
  <c r="AQ102" i="119"/>
  <c r="AP102" i="119"/>
  <c r="AR102" i="119" a="1"/>
  <c r="AR102" i="119"/>
  <c r="AP103" i="119"/>
  <c r="A104" i="119"/>
  <c r="AQ103" i="119"/>
  <c r="AR103" i="119" a="1"/>
  <c r="AR103" i="119"/>
  <c r="AQ104" i="119"/>
  <c r="AP104" i="119"/>
  <c r="A105" i="119"/>
  <c r="AR104" i="119" a="1"/>
  <c r="AR104" i="119"/>
  <c r="AQ105" i="119"/>
  <c r="AP105" i="119"/>
  <c r="A106" i="119"/>
  <c r="AR105" i="119" a="1"/>
  <c r="AR105" i="119"/>
  <c r="A107" i="119"/>
  <c r="AQ106" i="119"/>
  <c r="AP106" i="119"/>
  <c r="AR106" i="119" a="1"/>
  <c r="AR106" i="119"/>
  <c r="AQ107" i="119"/>
  <c r="A108" i="119"/>
  <c r="AP107" i="119"/>
  <c r="AR107" i="119" a="1"/>
  <c r="AR107" i="119"/>
  <c r="AP108" i="119"/>
  <c r="A109" i="119"/>
  <c r="AQ108" i="119"/>
  <c r="AR108" i="119" a="1"/>
  <c r="AR108" i="119"/>
  <c r="AQ109" i="119"/>
  <c r="A110" i="119"/>
  <c r="AP109" i="119"/>
  <c r="AR109" i="119" a="1"/>
  <c r="AR109" i="119"/>
  <c r="A111" i="119"/>
  <c r="AP110" i="119"/>
  <c r="AQ110" i="119"/>
  <c r="AR110" i="119" a="1"/>
  <c r="AR110" i="119"/>
  <c r="A112" i="119"/>
  <c r="AQ111" i="119"/>
  <c r="AP111" i="119"/>
  <c r="AR111" i="119" a="1"/>
  <c r="AR111" i="119"/>
  <c r="AP112" i="119"/>
  <c r="A113" i="119"/>
  <c r="AQ112" i="119"/>
  <c r="AR112" i="119" a="1"/>
  <c r="AR112" i="119"/>
  <c r="AP113" i="119"/>
  <c r="AQ113" i="119"/>
  <c r="A114" i="119"/>
  <c r="AR113" i="119" a="1"/>
  <c r="AR113" i="119"/>
  <c r="A115" i="119"/>
  <c r="AP114" i="119"/>
  <c r="AQ114" i="119"/>
  <c r="AR114" i="119" a="1"/>
  <c r="AR114" i="119"/>
  <c r="A116" i="119"/>
  <c r="AQ115" i="119"/>
  <c r="AP115" i="119"/>
  <c r="AR115" i="119" a="1"/>
  <c r="AR115" i="119"/>
  <c r="AQ116" i="119"/>
  <c r="A117" i="119"/>
  <c r="AP116" i="119"/>
  <c r="AR116" i="119" a="1"/>
  <c r="AR116" i="119"/>
  <c r="AQ117" i="119"/>
  <c r="A118" i="119"/>
  <c r="AP117" i="119"/>
  <c r="AR117" i="119" a="1"/>
  <c r="AR117" i="119"/>
  <c r="A119" i="119"/>
  <c r="AP118" i="119"/>
  <c r="AQ118" i="119"/>
  <c r="AR118" i="119" a="1"/>
  <c r="AR118" i="119"/>
  <c r="AQ119" i="119"/>
  <c r="A120" i="119"/>
  <c r="AP119" i="119"/>
  <c r="AR119" i="119" a="1"/>
  <c r="AR119" i="119"/>
  <c r="AP120" i="119"/>
  <c r="AQ120" i="119"/>
  <c r="A121" i="119"/>
  <c r="AR120" i="119" a="1"/>
  <c r="AR120" i="119"/>
  <c r="AQ121" i="119"/>
  <c r="AP121" i="119"/>
  <c r="A122" i="119"/>
  <c r="AR121" i="119" a="1"/>
  <c r="AR121" i="119"/>
  <c r="A123" i="119"/>
  <c r="AQ122" i="119"/>
  <c r="AP122" i="119"/>
  <c r="AR122" i="119" a="1"/>
  <c r="AR122" i="119"/>
  <c r="AP123" i="119"/>
  <c r="A124" i="119"/>
  <c r="AQ123" i="119"/>
  <c r="AR123" i="119" a="1"/>
  <c r="AR123" i="119"/>
  <c r="AP124" i="119"/>
  <c r="A125" i="119"/>
  <c r="AQ124" i="119"/>
  <c r="AR124" i="119" a="1"/>
  <c r="AR124" i="119"/>
  <c r="AQ125" i="119"/>
  <c r="A126" i="119"/>
  <c r="AP125" i="119"/>
  <c r="AR125" i="119" a="1"/>
  <c r="AR125" i="119"/>
  <c r="A127" i="119"/>
  <c r="AQ126" i="119"/>
  <c r="AP126" i="119"/>
  <c r="AR126" i="119" a="1"/>
  <c r="AR126" i="119"/>
  <c r="AQ127" i="119"/>
  <c r="AP127" i="119"/>
  <c r="A128" i="119"/>
  <c r="AR127" i="119" a="1"/>
  <c r="AR127" i="119"/>
  <c r="AQ128" i="119"/>
  <c r="A129" i="119"/>
  <c r="AP128" i="119"/>
  <c r="AR128" i="119" a="1"/>
  <c r="AR128" i="119"/>
  <c r="AP129" i="119"/>
  <c r="A130" i="119"/>
  <c r="AQ129" i="119"/>
  <c r="AR129" i="119" a="1"/>
  <c r="AR129" i="119"/>
  <c r="A131" i="119"/>
  <c r="AQ130" i="119"/>
  <c r="AP130" i="119"/>
  <c r="AR130" i="119" a="1"/>
  <c r="AR130" i="119"/>
  <c r="A132" i="119"/>
  <c r="AP131" i="119"/>
  <c r="AQ131" i="119"/>
  <c r="AR131" i="119" a="1"/>
  <c r="AR131" i="119"/>
  <c r="AQ132" i="119"/>
  <c r="A133" i="119"/>
  <c r="AP132" i="119"/>
  <c r="AR132" i="119" a="1"/>
  <c r="AR132" i="119"/>
  <c r="AP133" i="119"/>
  <c r="A134" i="119"/>
  <c r="AQ133" i="119"/>
  <c r="AR133" i="119" a="1"/>
  <c r="AR133" i="119"/>
  <c r="A135" i="119"/>
  <c r="AQ134" i="119"/>
  <c r="AP134" i="119"/>
  <c r="AR134" i="119" a="1"/>
  <c r="AR134" i="119"/>
  <c r="AQ135" i="119"/>
  <c r="AP135" i="119"/>
  <c r="A136" i="119"/>
  <c r="AR135" i="119" a="1"/>
  <c r="AR135" i="119"/>
  <c r="AP136" i="119"/>
  <c r="AQ136" i="119"/>
  <c r="A137" i="119"/>
  <c r="AR136" i="119" a="1"/>
  <c r="AR136" i="119"/>
  <c r="AQ137" i="119"/>
  <c r="AP137" i="119"/>
  <c r="A138" i="119"/>
  <c r="AR137" i="119" a="1"/>
  <c r="AR137" i="119"/>
  <c r="A139" i="119"/>
  <c r="AP138" i="119"/>
  <c r="AQ138" i="119"/>
  <c r="AR138" i="119" a="1"/>
  <c r="AR138" i="119"/>
  <c r="AP139" i="119"/>
  <c r="A140" i="119"/>
  <c r="AQ139" i="119"/>
  <c r="AR139" i="119" a="1"/>
  <c r="AR139" i="119"/>
  <c r="AP140" i="119"/>
  <c r="A141" i="119"/>
  <c r="AQ140" i="119"/>
  <c r="AR140" i="119" a="1"/>
  <c r="AR140" i="119"/>
  <c r="AQ141" i="119"/>
  <c r="A142" i="119"/>
  <c r="AP141" i="119"/>
  <c r="AR141" i="119" a="1"/>
  <c r="AR141" i="119"/>
  <c r="A143" i="119"/>
  <c r="AP142" i="119"/>
  <c r="AQ142" i="119"/>
  <c r="AR142" i="119" a="1"/>
  <c r="AR142" i="119"/>
  <c r="A144" i="119"/>
  <c r="AP143" i="119"/>
  <c r="AQ143" i="119"/>
  <c r="AR143" i="119" a="1"/>
  <c r="AR143" i="119"/>
  <c r="AQ144" i="119"/>
  <c r="A145" i="119"/>
  <c r="AP144" i="119"/>
  <c r="AR144" i="119" a="1"/>
  <c r="AR144" i="119"/>
  <c r="A146" i="119"/>
  <c r="AQ145" i="119"/>
  <c r="AP145" i="119"/>
  <c r="AR145" i="119" a="1"/>
  <c r="AR145" i="119"/>
  <c r="AQ146" i="119"/>
  <c r="A147" i="119"/>
  <c r="AP146" i="119"/>
  <c r="AR146" i="119" a="1"/>
  <c r="AR146" i="119"/>
  <c r="AQ147" i="119"/>
  <c r="A148" i="119"/>
  <c r="AP147" i="119"/>
  <c r="AR147" i="119" a="1"/>
  <c r="AR147" i="119"/>
  <c r="A149" i="119"/>
  <c r="AQ148" i="119"/>
  <c r="AP148" i="119"/>
  <c r="AR148" i="119" a="1"/>
  <c r="AR148" i="119"/>
  <c r="A150" i="119"/>
  <c r="AQ149" i="119"/>
  <c r="AP149" i="119"/>
  <c r="AR149" i="119" a="1"/>
  <c r="AR149" i="119"/>
  <c r="AP150" i="119"/>
  <c r="A151" i="119"/>
  <c r="AQ150" i="119"/>
  <c r="AR150" i="119" a="1"/>
  <c r="AR150" i="119"/>
  <c r="AQ151" i="119"/>
  <c r="A152" i="119"/>
  <c r="AP151" i="119"/>
  <c r="AR151" i="119" a="1"/>
  <c r="AR151" i="119"/>
  <c r="A153" i="119"/>
  <c r="AQ152" i="119"/>
  <c r="AP152" i="119"/>
  <c r="AR152" i="119" a="1"/>
  <c r="AR152" i="119"/>
  <c r="AP153" i="119"/>
  <c r="AQ153" i="119"/>
  <c r="A154" i="119"/>
  <c r="AR153" i="119" a="1"/>
  <c r="AR153" i="119"/>
  <c r="AQ154" i="119"/>
  <c r="A155" i="119"/>
  <c r="AP154" i="119"/>
  <c r="AR154" i="119" a="1"/>
  <c r="AR154" i="119"/>
  <c r="AQ155" i="119"/>
  <c r="AP155" i="119"/>
  <c r="A156" i="119"/>
  <c r="AR155" i="119" a="1"/>
  <c r="AR155" i="119"/>
  <c r="A157" i="119"/>
  <c r="AP156" i="119"/>
  <c r="AQ156" i="119"/>
  <c r="AR156" i="119" a="1"/>
  <c r="AR156" i="119"/>
  <c r="AQ157" i="119"/>
  <c r="A158" i="119"/>
  <c r="AP157" i="119"/>
  <c r="AR157" i="119" a="1"/>
  <c r="AR157" i="119"/>
  <c r="AQ158" i="119"/>
  <c r="A159" i="119"/>
  <c r="AP158" i="119"/>
  <c r="AR158" i="119" a="1"/>
  <c r="AR158" i="119"/>
  <c r="AP159" i="119"/>
  <c r="A160" i="119"/>
  <c r="AQ159" i="119"/>
  <c r="AR159" i="119" a="1"/>
  <c r="AR159" i="119"/>
  <c r="A161" i="119"/>
  <c r="AP160" i="119"/>
  <c r="AQ160" i="119"/>
  <c r="AR160" i="119" a="1"/>
  <c r="AR160" i="119"/>
  <c r="A162" i="119"/>
  <c r="AQ161" i="119"/>
  <c r="AP161" i="119"/>
  <c r="AR161" i="119" a="1"/>
  <c r="AR161" i="119"/>
  <c r="AQ162" i="119"/>
  <c r="A163" i="119"/>
  <c r="AP162" i="119"/>
  <c r="AR162" i="119" a="1"/>
  <c r="AR162" i="119"/>
  <c r="AP163" i="119"/>
  <c r="A164" i="119"/>
  <c r="AQ163" i="119"/>
  <c r="AR163" i="119" a="1"/>
  <c r="AR163" i="119"/>
  <c r="A165" i="119"/>
  <c r="AQ164" i="119"/>
  <c r="AP164" i="119"/>
  <c r="AR164" i="119" a="1"/>
  <c r="AR164" i="119"/>
  <c r="A166" i="119"/>
  <c r="AQ165" i="119"/>
  <c r="AP165" i="119"/>
  <c r="AR165" i="119" a="1"/>
  <c r="AR165" i="119"/>
  <c r="AQ166" i="119"/>
  <c r="AP166" i="119"/>
  <c r="A167" i="119"/>
  <c r="AR166" i="119" a="1"/>
  <c r="AR166" i="119"/>
  <c r="AP167" i="119"/>
  <c r="AQ167" i="119"/>
  <c r="A168" i="119"/>
  <c r="AR167" i="119" a="1"/>
  <c r="AR167" i="119"/>
  <c r="A169" i="119"/>
  <c r="AP168" i="119"/>
  <c r="AQ168" i="119"/>
  <c r="AR168" i="119" a="1"/>
  <c r="AR168" i="119"/>
  <c r="A170" i="119"/>
  <c r="AQ169" i="119"/>
  <c r="AP169" i="119"/>
  <c r="AR169" i="119" a="1"/>
  <c r="AR169" i="119"/>
  <c r="AP170" i="119"/>
  <c r="AQ170" i="119"/>
  <c r="A171" i="119"/>
  <c r="AR170" i="119" a="1"/>
  <c r="AR170" i="119"/>
  <c r="AQ171" i="119"/>
  <c r="A172" i="119"/>
  <c r="AP171" i="119"/>
  <c r="AR171" i="119" a="1"/>
  <c r="AR171" i="119"/>
  <c r="A173" i="119"/>
  <c r="AP172" i="119"/>
  <c r="AQ172" i="119"/>
  <c r="AR172" i="119" a="1"/>
  <c r="AR172" i="119"/>
  <c r="A174" i="119"/>
  <c r="AQ173" i="119"/>
  <c r="AP173" i="119"/>
  <c r="AR173" i="119" a="1"/>
  <c r="AR173" i="119"/>
  <c r="AQ174" i="119"/>
  <c r="A175" i="119"/>
  <c r="AP174" i="119"/>
  <c r="AR174" i="119" a="1"/>
  <c r="AR174" i="119"/>
  <c r="AP175" i="119"/>
  <c r="A176" i="119"/>
  <c r="AQ175" i="119"/>
  <c r="AR175" i="119" a="1"/>
  <c r="AR175" i="119"/>
  <c r="A177" i="119"/>
  <c r="AP176" i="119"/>
  <c r="AQ176" i="119"/>
  <c r="AR176" i="119" a="1"/>
  <c r="AR176" i="119"/>
  <c r="A178" i="119"/>
  <c r="AP177" i="119"/>
  <c r="AQ177" i="119"/>
  <c r="AR177" i="119" a="1"/>
  <c r="AR177" i="119"/>
  <c r="AQ178" i="119"/>
  <c r="AP178" i="119"/>
  <c r="A179" i="119"/>
  <c r="AR178" i="119" a="1"/>
  <c r="AR178" i="119"/>
  <c r="AP179" i="119"/>
  <c r="A180" i="119"/>
  <c r="AQ179" i="119"/>
  <c r="AR179" i="119" a="1"/>
  <c r="AR179" i="119"/>
  <c r="A181" i="119"/>
  <c r="AP180" i="119"/>
  <c r="AQ180" i="119"/>
  <c r="AR180" i="119" a="1"/>
  <c r="AR180" i="119"/>
  <c r="AP181" i="119"/>
  <c r="AQ181" i="119"/>
  <c r="A182" i="119"/>
  <c r="AR181" i="119" a="1"/>
  <c r="AR181" i="119"/>
  <c r="AQ182" i="119"/>
  <c r="A183" i="119"/>
  <c r="AP182" i="119"/>
  <c r="AR182" i="119" a="1"/>
  <c r="AR182" i="119"/>
  <c r="AP183" i="119"/>
  <c r="AQ183" i="119"/>
  <c r="A184" i="119"/>
  <c r="AR183" i="119" a="1"/>
  <c r="AR183" i="119"/>
  <c r="A185" i="119"/>
  <c r="AP184" i="119"/>
  <c r="AQ184" i="119"/>
  <c r="AR184" i="119" a="1"/>
  <c r="AR184" i="119"/>
  <c r="AP185" i="119"/>
  <c r="A186" i="119"/>
  <c r="AQ185" i="119"/>
  <c r="AR185" i="119" a="1"/>
  <c r="AR185" i="119"/>
  <c r="AP186" i="119"/>
  <c r="A187" i="119"/>
  <c r="AQ186" i="119"/>
  <c r="AR186" i="119" a="1"/>
  <c r="AR186" i="119"/>
  <c r="AQ187" i="119"/>
  <c r="AP187" i="119"/>
  <c r="A188" i="119"/>
  <c r="AR187" i="119" a="1"/>
  <c r="AR187" i="119"/>
  <c r="A189" i="119"/>
  <c r="AP188" i="119"/>
  <c r="AQ188" i="119"/>
  <c r="AR188" i="119" a="1"/>
  <c r="AR188" i="119"/>
  <c r="A190" i="119"/>
  <c r="AQ189" i="119"/>
  <c r="AP189" i="119"/>
  <c r="AR189" i="119" a="1"/>
  <c r="AR189" i="119"/>
  <c r="AQ190" i="119"/>
  <c r="A191" i="119"/>
  <c r="AP190" i="119"/>
  <c r="AR190" i="119" a="1"/>
  <c r="AR190" i="119"/>
  <c r="AP191" i="119"/>
  <c r="A192" i="119"/>
  <c r="AQ191" i="119"/>
  <c r="AR191" i="119" a="1"/>
  <c r="AR191" i="119"/>
  <c r="A193" i="119"/>
  <c r="AP192" i="119"/>
  <c r="AQ192" i="119"/>
  <c r="AR192" i="119" a="1"/>
  <c r="AR192" i="119"/>
  <c r="A194" i="119"/>
  <c r="AP193" i="119"/>
  <c r="AQ193" i="119"/>
  <c r="AR193" i="119" a="1"/>
  <c r="AR193" i="119"/>
  <c r="AQ194" i="119"/>
  <c r="A195" i="119"/>
  <c r="AP194" i="119"/>
  <c r="AR194" i="119" a="1"/>
  <c r="AR194" i="119"/>
  <c r="AQ195" i="119"/>
  <c r="AP195" i="119"/>
  <c r="A196" i="119"/>
  <c r="AR195" i="119" a="1"/>
  <c r="AR195" i="119"/>
  <c r="A197" i="119"/>
  <c r="AQ196" i="119"/>
  <c r="AP196" i="119"/>
  <c r="AR196" i="119" a="1"/>
  <c r="AR196" i="119"/>
  <c r="A198" i="119"/>
  <c r="AP197" i="119"/>
  <c r="AQ197" i="119"/>
  <c r="AR197" i="119" a="1"/>
  <c r="AR197" i="119"/>
  <c r="AQ198" i="119"/>
  <c r="AP198" i="119"/>
  <c r="A199" i="119"/>
  <c r="AR198" i="119" a="1"/>
  <c r="AR198" i="119"/>
  <c r="AQ199" i="119"/>
  <c r="A200" i="119"/>
  <c r="AP199" i="119"/>
  <c r="AR199" i="119" a="1"/>
  <c r="AR199" i="119"/>
  <c r="A201" i="119"/>
  <c r="AQ200" i="119"/>
  <c r="AP200" i="119"/>
  <c r="AR200" i="119" a="1"/>
  <c r="AR200" i="119"/>
  <c r="A202" i="119"/>
  <c r="AP201" i="119"/>
  <c r="AQ201" i="119"/>
  <c r="AR201" i="119" a="1"/>
  <c r="AR201" i="119"/>
  <c r="AP202" i="119"/>
  <c r="A203" i="119"/>
  <c r="AQ202" i="119"/>
  <c r="AR202" i="119" a="1"/>
  <c r="AR202" i="119"/>
  <c r="AQ203" i="119"/>
  <c r="A204" i="119"/>
  <c r="AP203" i="119"/>
  <c r="AR203" i="119" a="1"/>
  <c r="AR203" i="119"/>
  <c r="A205" i="119"/>
  <c r="AP204" i="119"/>
  <c r="AQ204" i="119"/>
  <c r="AR204" i="119" a="1"/>
  <c r="AR204" i="119"/>
  <c r="A206" i="119"/>
  <c r="AP205" i="119"/>
  <c r="AQ205" i="119"/>
  <c r="AR205" i="119" a="1"/>
  <c r="AR205" i="119"/>
  <c r="AQ206" i="119"/>
  <c r="A207" i="119"/>
  <c r="AP206" i="119"/>
  <c r="AR206" i="119" a="1"/>
  <c r="AR206" i="119"/>
  <c r="AQ207" i="119"/>
  <c r="A208" i="119"/>
  <c r="AP207" i="119"/>
  <c r="AR207" i="119" a="1"/>
  <c r="AR207" i="119"/>
  <c r="A209" i="119"/>
  <c r="AQ208" i="119"/>
  <c r="AP208" i="119"/>
  <c r="AR208" i="119" a="1"/>
  <c r="AR208" i="119"/>
  <c r="A210" i="119"/>
  <c r="AP209" i="119"/>
  <c r="AQ209" i="119"/>
  <c r="AR209" i="119" a="1"/>
  <c r="AR209" i="119"/>
  <c r="AP210" i="119"/>
  <c r="A211" i="119"/>
  <c r="AQ210" i="119"/>
  <c r="AR210" i="119" a="1"/>
  <c r="AR210" i="119"/>
  <c r="AQ211" i="119"/>
  <c r="A212" i="119"/>
  <c r="AP211" i="119"/>
  <c r="AR211" i="119" a="1"/>
  <c r="AR211" i="119"/>
  <c r="A213" i="119"/>
  <c r="AQ212" i="119"/>
  <c r="AP212" i="119"/>
  <c r="AR212" i="119" a="1"/>
  <c r="AR212" i="119"/>
  <c r="AQ213" i="119"/>
  <c r="AP213" i="119"/>
  <c r="A214" i="119"/>
  <c r="AR213" i="119" a="1"/>
  <c r="AR213" i="119"/>
  <c r="AP214" i="119"/>
  <c r="A215" i="119"/>
  <c r="AQ214" i="119"/>
  <c r="AR214" i="119" a="1"/>
  <c r="AR214" i="119"/>
  <c r="AP215" i="119"/>
  <c r="AQ215" i="119"/>
  <c r="A216" i="119"/>
  <c r="AR215" i="119" a="1"/>
  <c r="AR215" i="119"/>
  <c r="A217" i="119"/>
  <c r="AQ216" i="119"/>
  <c r="AP216" i="119"/>
  <c r="AR216" i="119" a="1"/>
  <c r="AR216" i="119"/>
  <c r="AQ217" i="119"/>
  <c r="A218" i="119"/>
  <c r="AP217" i="119"/>
  <c r="AR217" i="119" a="1"/>
  <c r="AR217" i="119"/>
  <c r="AQ218" i="119"/>
  <c r="A219" i="119"/>
  <c r="AP218" i="119"/>
  <c r="AR218" i="119" a="1"/>
  <c r="AR218" i="119"/>
  <c r="AQ219" i="119"/>
  <c r="A220" i="119"/>
  <c r="AP219" i="119"/>
  <c r="AR219" i="119" a="1"/>
  <c r="AR219" i="119"/>
  <c r="A221" i="119"/>
  <c r="AP220" i="119"/>
  <c r="AQ220" i="119"/>
  <c r="AR220" i="119" a="1"/>
  <c r="AR220" i="119"/>
  <c r="A222" i="119"/>
  <c r="AQ221" i="119"/>
  <c r="AP221" i="119"/>
  <c r="AR221" i="119" a="1"/>
  <c r="AR221" i="119"/>
  <c r="AQ222" i="119"/>
  <c r="A223" i="119"/>
  <c r="AP222" i="119"/>
  <c r="AR222" i="119" a="1"/>
  <c r="AR222" i="119"/>
  <c r="AP223" i="119"/>
  <c r="A224" i="119"/>
  <c r="AQ223" i="119"/>
  <c r="AR223" i="119" a="1"/>
  <c r="AR223" i="119"/>
  <c r="A225" i="119"/>
  <c r="AQ224" i="119"/>
  <c r="AP224" i="119"/>
  <c r="AR224" i="119" a="1"/>
  <c r="AR224" i="119"/>
  <c r="AP225" i="119"/>
  <c r="AQ225" i="119"/>
  <c r="A226" i="119"/>
  <c r="AR225" i="119" a="1"/>
  <c r="AR225" i="119"/>
  <c r="AP226" i="119"/>
  <c r="A227" i="119"/>
  <c r="AQ226" i="119"/>
  <c r="AR226" i="119" a="1"/>
  <c r="AR226" i="119"/>
  <c r="AQ227" i="119"/>
  <c r="A228" i="119"/>
  <c r="AP227" i="119"/>
  <c r="AR227" i="119" a="1"/>
  <c r="AR227" i="119"/>
  <c r="A229" i="119"/>
  <c r="AQ228" i="119"/>
  <c r="AP228" i="119"/>
  <c r="AR228" i="119" a="1"/>
  <c r="AR228" i="119"/>
  <c r="AQ229" i="119"/>
  <c r="A230" i="119"/>
  <c r="AP229" i="119"/>
  <c r="AR229" i="119" a="1"/>
  <c r="AR229" i="119"/>
  <c r="AP230" i="119"/>
  <c r="AQ230" i="119"/>
  <c r="A231" i="119"/>
  <c r="AR230" i="119" a="1"/>
  <c r="AR230" i="119"/>
  <c r="AP231" i="119"/>
  <c r="A232" i="119"/>
  <c r="AQ231" i="119"/>
  <c r="AR231" i="119" a="1"/>
  <c r="AR231" i="119"/>
  <c r="A233" i="119"/>
  <c r="AQ232" i="119"/>
  <c r="AP232" i="119"/>
  <c r="AR232" i="119" a="1"/>
  <c r="AR232" i="119"/>
  <c r="A234" i="119"/>
  <c r="AP233" i="119"/>
  <c r="AQ233" i="119"/>
  <c r="AR233" i="119" a="1"/>
  <c r="AR233" i="119"/>
  <c r="AQ234" i="119"/>
  <c r="A235" i="119"/>
  <c r="AP234" i="119"/>
  <c r="AR234" i="119" a="1"/>
  <c r="AR234" i="119"/>
  <c r="AP235" i="119"/>
  <c r="A236" i="119"/>
  <c r="AQ235" i="119"/>
  <c r="AR235" i="119" a="1"/>
  <c r="AR235" i="119"/>
  <c r="A237" i="119"/>
  <c r="AQ236" i="119"/>
  <c r="AP236" i="119"/>
  <c r="AR236" i="119" a="1"/>
  <c r="AR236" i="119"/>
  <c r="A238" i="119"/>
  <c r="AQ237" i="119"/>
  <c r="AP237" i="119"/>
  <c r="AR237" i="119" a="1"/>
  <c r="AR237" i="119"/>
  <c r="AQ238" i="119"/>
  <c r="A239" i="119"/>
  <c r="AP238" i="119"/>
  <c r="AR238" i="119" a="1"/>
  <c r="AR238" i="119"/>
  <c r="A240" i="119"/>
  <c r="AP239" i="119"/>
  <c r="AQ239" i="119"/>
  <c r="AR239" i="119" a="1"/>
  <c r="AR239" i="119"/>
  <c r="AQ240" i="119"/>
  <c r="A241" i="119"/>
  <c r="AP240" i="119"/>
  <c r="AR240" i="119" a="1"/>
  <c r="AR240" i="119"/>
  <c r="A242" i="119"/>
  <c r="AQ241" i="119"/>
  <c r="AP241" i="119"/>
  <c r="AR241" i="119" a="1"/>
  <c r="AR241" i="119"/>
  <c r="A243" i="119"/>
  <c r="AQ242" i="119"/>
  <c r="AP242" i="119"/>
  <c r="AR242" i="119" a="1"/>
  <c r="AR242" i="119"/>
  <c r="A244" i="119"/>
  <c r="AP243" i="119"/>
  <c r="AQ243" i="119"/>
  <c r="AR243" i="119" a="1"/>
  <c r="AR243" i="119"/>
  <c r="A245" i="119"/>
  <c r="AQ244" i="119"/>
  <c r="AP244" i="119"/>
  <c r="AR244" i="119" a="1"/>
  <c r="AR244" i="119"/>
  <c r="AP245" i="119"/>
  <c r="AQ245" i="119"/>
  <c r="A246" i="119"/>
  <c r="AR245" i="119" a="1"/>
  <c r="AR245" i="119"/>
  <c r="A247" i="119"/>
  <c r="AQ246" i="119"/>
  <c r="AP246" i="119"/>
  <c r="AR246" i="119" a="1"/>
  <c r="AR246" i="119"/>
  <c r="A248" i="119"/>
  <c r="AQ247" i="119"/>
  <c r="AP247" i="119"/>
  <c r="AR247" i="119" a="1"/>
  <c r="AR247" i="119"/>
  <c r="AP248" i="119"/>
  <c r="A249" i="119"/>
  <c r="AQ248" i="119"/>
  <c r="AR248" i="119" a="1"/>
  <c r="AR248" i="119"/>
  <c r="AQ249" i="119"/>
  <c r="AP249" i="119"/>
  <c r="A250" i="119"/>
  <c r="AR249" i="119" a="1"/>
  <c r="AR249" i="119"/>
  <c r="A251" i="119"/>
  <c r="AP250" i="119"/>
  <c r="AQ250" i="119"/>
  <c r="AR250" i="119" a="1"/>
  <c r="AR250" i="119"/>
  <c r="A252" i="119"/>
  <c r="AQ251" i="119"/>
  <c r="AP251" i="119"/>
  <c r="AR251" i="119" a="1"/>
  <c r="AR251" i="119"/>
  <c r="A253" i="119"/>
  <c r="AP252" i="119"/>
  <c r="AQ252" i="119"/>
  <c r="AR252" i="119" a="1"/>
  <c r="AR252" i="119"/>
  <c r="AQ253" i="119"/>
  <c r="AP253" i="119"/>
  <c r="A254" i="119"/>
  <c r="AR253" i="119" a="1"/>
  <c r="AR253" i="119"/>
  <c r="AP254" i="119"/>
  <c r="AQ254" i="119"/>
  <c r="A255" i="119"/>
  <c r="AR254" i="119" a="1"/>
  <c r="AR254" i="119"/>
  <c r="A256" i="119"/>
  <c r="AP255" i="119"/>
  <c r="AQ255" i="119"/>
  <c r="AR255" i="119" a="1"/>
  <c r="AR255" i="119"/>
  <c r="AP256" i="119"/>
  <c r="A257" i="119"/>
  <c r="AQ256" i="119"/>
  <c r="AR256" i="119" a="1"/>
  <c r="AR256" i="119"/>
  <c r="AQ257" i="119"/>
  <c r="A258" i="119"/>
  <c r="AP257" i="119"/>
  <c r="AR257" i="119" a="1"/>
  <c r="AR257" i="119"/>
  <c r="A259" i="119"/>
  <c r="AQ258" i="119"/>
  <c r="AP258" i="119"/>
  <c r="AR258" i="119" a="1"/>
  <c r="AR258" i="119"/>
  <c r="AP259" i="119"/>
  <c r="AQ259" i="119"/>
  <c r="A260" i="119"/>
  <c r="AR259" i="119" a="1"/>
  <c r="AR259" i="119"/>
  <c r="A261" i="119"/>
  <c r="AQ260" i="119"/>
  <c r="AP260" i="119"/>
  <c r="AR260" i="119" a="1"/>
  <c r="AR260" i="119"/>
  <c r="AP261" i="119"/>
  <c r="AQ261" i="119"/>
  <c r="A262" i="119"/>
  <c r="AR261" i="119" a="1"/>
  <c r="AR261" i="119"/>
  <c r="AP262" i="119"/>
  <c r="A263" i="119"/>
  <c r="AQ262" i="119"/>
  <c r="AR262" i="119" a="1"/>
  <c r="AR262" i="119"/>
  <c r="A264" i="119"/>
  <c r="AP263" i="119"/>
  <c r="AQ263" i="119"/>
  <c r="AR263" i="119" a="1"/>
  <c r="AR263" i="119"/>
  <c r="AP264" i="119"/>
  <c r="AQ264" i="119"/>
  <c r="A265" i="119"/>
  <c r="AR264" i="119" a="1"/>
  <c r="AR264" i="119"/>
  <c r="AQ265" i="119"/>
  <c r="AP265" i="119"/>
  <c r="A266" i="119"/>
  <c r="AR265" i="119" a="1"/>
  <c r="AR265" i="119"/>
  <c r="A267" i="119"/>
  <c r="AQ266" i="119"/>
  <c r="AP266" i="119"/>
  <c r="AR266" i="119" a="1"/>
  <c r="AR266" i="119"/>
  <c r="AP267" i="119"/>
  <c r="A268" i="119"/>
  <c r="AQ267" i="119"/>
  <c r="AR267" i="119" a="1"/>
  <c r="AR267" i="119"/>
  <c r="A269" i="119"/>
  <c r="AP268" i="119"/>
  <c r="AQ268" i="119"/>
  <c r="AR268" i="119" a="1"/>
  <c r="AR268" i="119"/>
  <c r="AP269" i="119"/>
  <c r="AQ269" i="119"/>
  <c r="A270" i="119"/>
  <c r="AR269" i="119" a="1"/>
  <c r="AR269" i="119"/>
  <c r="AQ270" i="119"/>
  <c r="AP270" i="119"/>
  <c r="A271" i="119"/>
  <c r="AR270" i="119" a="1"/>
  <c r="AR270" i="119"/>
  <c r="A272" i="119"/>
  <c r="AP271" i="119"/>
  <c r="AQ271" i="119"/>
  <c r="AR271" i="119" a="1"/>
  <c r="AR271" i="119"/>
  <c r="AP272" i="119"/>
  <c r="A273" i="119"/>
  <c r="AQ272" i="119"/>
  <c r="AR272" i="119" a="1"/>
  <c r="AR272" i="119"/>
  <c r="A274" i="119"/>
  <c r="AP273" i="119"/>
  <c r="AQ273" i="119"/>
  <c r="AR273" i="119" a="1"/>
  <c r="AR273" i="119"/>
  <c r="A275" i="119"/>
  <c r="AQ274" i="119"/>
  <c r="AP274" i="119"/>
  <c r="AR274" i="119" a="1"/>
  <c r="AR274" i="119"/>
  <c r="AQ275" i="119"/>
  <c r="AP275" i="119"/>
  <c r="A276" i="119"/>
  <c r="AR275" i="119" a="1"/>
  <c r="AR275" i="119"/>
  <c r="A277" i="119"/>
  <c r="AQ276" i="119"/>
  <c r="AP276" i="119"/>
  <c r="AR276" i="119" a="1"/>
  <c r="AR276" i="119"/>
  <c r="AQ277" i="119"/>
  <c r="AP277" i="119"/>
  <c r="A278" i="119"/>
  <c r="AR277" i="119" a="1"/>
  <c r="AR277" i="119"/>
  <c r="A279" i="119"/>
  <c r="AP278" i="119"/>
  <c r="AQ278" i="119"/>
  <c r="AR278" i="119" a="1"/>
  <c r="AR278" i="119"/>
  <c r="A280" i="119"/>
  <c r="AQ279" i="119"/>
  <c r="AP279" i="119"/>
  <c r="AR279" i="119" a="1"/>
  <c r="AR279" i="119"/>
  <c r="AP280" i="119"/>
  <c r="AQ280" i="119"/>
  <c r="A281" i="119"/>
  <c r="AR280" i="119" a="1"/>
  <c r="AR280" i="119"/>
  <c r="A282" i="119"/>
  <c r="AQ281" i="119"/>
  <c r="AP281" i="119"/>
  <c r="AR281" i="119" a="1"/>
  <c r="AR281" i="119"/>
  <c r="A283" i="119"/>
  <c r="AP282" i="119"/>
  <c r="AQ282" i="119"/>
  <c r="AR282" i="119" a="1"/>
  <c r="AR282" i="119"/>
  <c r="A284" i="119"/>
  <c r="AQ283" i="119"/>
  <c r="AP283" i="119"/>
  <c r="AR283" i="119" a="1"/>
  <c r="AR283" i="119"/>
  <c r="A285" i="119"/>
  <c r="AQ284" i="119"/>
  <c r="AP284" i="119"/>
  <c r="AR284" i="119" a="1"/>
  <c r="AR284" i="119"/>
  <c r="AP285" i="119"/>
  <c r="AQ285" i="119"/>
  <c r="A286" i="119"/>
  <c r="AR285" i="119" a="1"/>
  <c r="AR285" i="119"/>
  <c r="A287" i="119"/>
  <c r="AQ286" i="119"/>
  <c r="AP286" i="119"/>
  <c r="AR286" i="119" a="1"/>
  <c r="AR286" i="119"/>
  <c r="A288" i="119"/>
  <c r="AP287" i="119"/>
  <c r="AQ287" i="119"/>
  <c r="AR287" i="119" a="1"/>
  <c r="AR287" i="119"/>
  <c r="AP288" i="119"/>
  <c r="A289" i="119"/>
  <c r="AQ288" i="119"/>
  <c r="AR288" i="119" a="1"/>
  <c r="AR288" i="119"/>
  <c r="A290" i="119"/>
  <c r="AQ289" i="119"/>
  <c r="AP289" i="119"/>
  <c r="AR289" i="119" a="1"/>
  <c r="AR289" i="119"/>
  <c r="A291" i="119"/>
  <c r="AP290" i="119"/>
  <c r="AQ290" i="119"/>
  <c r="AR290" i="119" a="1"/>
  <c r="AR290" i="119"/>
  <c r="A292" i="119"/>
  <c r="AP291" i="119"/>
  <c r="AQ291" i="119"/>
  <c r="AR291" i="119" a="1"/>
  <c r="AR291" i="119"/>
  <c r="A293" i="119"/>
  <c r="AQ292" i="119"/>
  <c r="AP292" i="119"/>
  <c r="AR292" i="119" a="1"/>
  <c r="AR292" i="119"/>
  <c r="AP293" i="119"/>
  <c r="AQ293" i="119"/>
  <c r="A294" i="119"/>
  <c r="AR293" i="119" a="1"/>
  <c r="AR293" i="119"/>
  <c r="A295" i="119"/>
  <c r="AP294" i="119"/>
  <c r="AQ294" i="119"/>
  <c r="AR294" i="119" a="1"/>
  <c r="AR294" i="119"/>
  <c r="A296" i="119"/>
  <c r="AQ295" i="119"/>
  <c r="AP295" i="119"/>
  <c r="AR295" i="119" a="1"/>
  <c r="AR295" i="119"/>
  <c r="AP296" i="119"/>
  <c r="A297" i="119"/>
  <c r="AQ296" i="119"/>
  <c r="AR296" i="119" a="1"/>
  <c r="AR296" i="119"/>
  <c r="A298" i="119"/>
  <c r="AQ297" i="119"/>
  <c r="AP297" i="119"/>
  <c r="AR297" i="119" a="1"/>
  <c r="AR297" i="119"/>
  <c r="A299" i="119"/>
  <c r="AQ298" i="119"/>
  <c r="AP298" i="119"/>
  <c r="AR298" i="119" a="1"/>
  <c r="AR298" i="119"/>
  <c r="A300" i="119"/>
  <c r="AP299" i="119"/>
  <c r="AQ299" i="119"/>
  <c r="AR299" i="119" a="1"/>
  <c r="AR299" i="119"/>
  <c r="A301" i="119"/>
  <c r="AP300" i="119"/>
  <c r="AQ300" i="119"/>
  <c r="AR300" i="119" a="1"/>
  <c r="AR300" i="119"/>
  <c r="AP301" i="119"/>
  <c r="AQ301" i="119"/>
  <c r="A302" i="119"/>
  <c r="AR301" i="119" a="1"/>
  <c r="AR301" i="119"/>
  <c r="A303" i="119"/>
  <c r="AP302" i="119"/>
  <c r="AQ302" i="119"/>
  <c r="AR302" i="119" a="1"/>
  <c r="AR302" i="119"/>
  <c r="A304" i="119"/>
  <c r="AP303" i="119"/>
  <c r="AQ303" i="119"/>
  <c r="AR303" i="119" a="1"/>
  <c r="AR303" i="119"/>
  <c r="AP304" i="119"/>
  <c r="A305" i="119"/>
  <c r="AQ304" i="119"/>
  <c r="AR304" i="119" a="1"/>
  <c r="AR304" i="119"/>
  <c r="A306" i="119"/>
  <c r="AP305" i="119"/>
  <c r="AQ305" i="119"/>
  <c r="AR305" i="119" a="1"/>
  <c r="AR305" i="119"/>
  <c r="A307" i="119"/>
  <c r="AP306" i="119"/>
  <c r="AQ306" i="119"/>
  <c r="AR306" i="119" a="1"/>
  <c r="AR306" i="119"/>
  <c r="A308" i="119"/>
  <c r="AQ307" i="119"/>
  <c r="AP307" i="119"/>
  <c r="AR307" i="119" a="1"/>
  <c r="AR307" i="119"/>
  <c r="A309" i="119"/>
  <c r="AQ308" i="119"/>
  <c r="AP308" i="119"/>
  <c r="AR308" i="119" a="1"/>
  <c r="AR308" i="119"/>
  <c r="AQ309" i="119"/>
  <c r="AP309" i="119"/>
  <c r="A310" i="119"/>
  <c r="AR309" i="119" a="1"/>
  <c r="AR309" i="119"/>
  <c r="A311" i="119"/>
  <c r="AP310" i="119"/>
  <c r="AQ310" i="119"/>
  <c r="AR310" i="119" a="1"/>
  <c r="AR310" i="119"/>
  <c r="AQ311" i="119"/>
  <c r="A312" i="119"/>
  <c r="AP311" i="119"/>
  <c r="AR311" i="119" a="1"/>
  <c r="AR311" i="119"/>
  <c r="AP312" i="119"/>
  <c r="AQ312" i="119"/>
  <c r="A313" i="119"/>
  <c r="AR312" i="119" a="1"/>
  <c r="AR312" i="119"/>
  <c r="A314" i="119"/>
  <c r="AP313" i="119"/>
  <c r="AQ313" i="119"/>
  <c r="AR313" i="119" a="1"/>
  <c r="AR313" i="119"/>
  <c r="AQ314" i="119"/>
  <c r="A315" i="119"/>
  <c r="AP314" i="119"/>
  <c r="AR314" i="119" a="1"/>
  <c r="AR314" i="119"/>
  <c r="A316" i="119"/>
  <c r="AQ315" i="119"/>
  <c r="AP315" i="119"/>
  <c r="AR315" i="119" a="1"/>
  <c r="AR315" i="119"/>
  <c r="A317" i="119"/>
  <c r="AP316" i="119"/>
  <c r="AQ316" i="119"/>
  <c r="AR316" i="119" a="1"/>
  <c r="AR316" i="119"/>
  <c r="A318" i="119"/>
  <c r="AP317" i="119"/>
  <c r="AQ317" i="119"/>
  <c r="AR317" i="119" a="1"/>
  <c r="AR317" i="119"/>
  <c r="AP318" i="119"/>
  <c r="AQ318" i="119"/>
  <c r="A319" i="119"/>
  <c r="AR318" i="119" a="1"/>
  <c r="AR318" i="119"/>
  <c r="AP319" i="119"/>
  <c r="A320" i="119"/>
  <c r="AQ319" i="119"/>
  <c r="AR319" i="119" a="1"/>
  <c r="AR319" i="119"/>
  <c r="AQ320" i="119"/>
  <c r="AP320" i="119"/>
  <c r="A321" i="119"/>
  <c r="AR320" i="119" a="1"/>
  <c r="AR320" i="119"/>
  <c r="AQ321" i="119"/>
  <c r="A322" i="119"/>
  <c r="AP321" i="119"/>
  <c r="AR321" i="119" a="1"/>
  <c r="AR321" i="119"/>
  <c r="AQ322" i="119"/>
  <c r="A323" i="119"/>
  <c r="AP322" i="119"/>
  <c r="AR322" i="119" a="1"/>
  <c r="AR322" i="119"/>
  <c r="AQ323" i="119"/>
  <c r="AP323" i="119"/>
  <c r="A324" i="119"/>
  <c r="AR323" i="119" a="1"/>
  <c r="AR323" i="119"/>
  <c r="A325" i="119"/>
  <c r="AQ324" i="119"/>
  <c r="AP324" i="119"/>
  <c r="AR324" i="119" a="1"/>
  <c r="AR324" i="119"/>
  <c r="A326" i="119"/>
  <c r="AP325" i="119"/>
  <c r="AQ325" i="119"/>
  <c r="AR325" i="119" a="1"/>
  <c r="AR325" i="119"/>
  <c r="A327" i="119"/>
  <c r="AQ326" i="119"/>
  <c r="AP326" i="119"/>
  <c r="AR326" i="119" a="1"/>
  <c r="AR326" i="119"/>
  <c r="AP327" i="119"/>
  <c r="A328" i="119"/>
  <c r="AQ327" i="119"/>
  <c r="AR327" i="119" a="1"/>
  <c r="AR327" i="119"/>
  <c r="A329" i="119"/>
  <c r="AP328" i="119"/>
  <c r="AQ328" i="119"/>
  <c r="AR328" i="119" a="1"/>
  <c r="AR328" i="119"/>
  <c r="A330" i="119"/>
  <c r="AQ329" i="119"/>
  <c r="AP329" i="119"/>
  <c r="AR329" i="119" a="1"/>
  <c r="AR329" i="119"/>
  <c r="AQ330" i="119"/>
  <c r="A331" i="119"/>
  <c r="AP330" i="119"/>
  <c r="AR330" i="119" a="1"/>
  <c r="AR330" i="119"/>
  <c r="AP331" i="119"/>
  <c r="A332" i="119"/>
  <c r="AQ331" i="119"/>
  <c r="AR331" i="119" a="1"/>
  <c r="AR331" i="119"/>
  <c r="AP332" i="119"/>
  <c r="AQ332" i="119"/>
  <c r="A333" i="119"/>
  <c r="AR332" i="119" a="1"/>
  <c r="AR332" i="119"/>
  <c r="A334" i="119"/>
  <c r="AP333" i="119"/>
  <c r="AQ333" i="119"/>
  <c r="AR333" i="119" a="1"/>
  <c r="AR333" i="119"/>
  <c r="A335" i="119"/>
  <c r="AQ334" i="119"/>
  <c r="AP334" i="119"/>
  <c r="AR334" i="119" a="1"/>
  <c r="AR334" i="119"/>
  <c r="A336" i="119"/>
  <c r="AP335" i="119"/>
  <c r="AQ335" i="119"/>
  <c r="AR335" i="119" a="1"/>
  <c r="AR335" i="119"/>
  <c r="AQ336" i="119"/>
  <c r="A337" i="119"/>
  <c r="AP336" i="119"/>
  <c r="AR336" i="119" a="1"/>
  <c r="AR336" i="119"/>
  <c r="AP337" i="119"/>
  <c r="A338" i="119"/>
  <c r="AQ337" i="119"/>
  <c r="AR337" i="119" a="1"/>
  <c r="AR337" i="119"/>
  <c r="A339" i="119"/>
  <c r="AQ338" i="119"/>
  <c r="AP338" i="119"/>
  <c r="AR338" i="119" a="1"/>
  <c r="AR338" i="119"/>
  <c r="AQ339" i="119"/>
  <c r="A340" i="119"/>
  <c r="AP339" i="119"/>
  <c r="AR339" i="119" a="1"/>
  <c r="AR339" i="119"/>
  <c r="AQ340" i="119"/>
  <c r="A341" i="119"/>
  <c r="AP340" i="119"/>
  <c r="AR340" i="119" a="1"/>
  <c r="AR340" i="119"/>
  <c r="A342" i="119"/>
  <c r="AP341" i="119"/>
  <c r="AQ341" i="119"/>
  <c r="AR341" i="119" a="1"/>
  <c r="AR341" i="119"/>
  <c r="A343" i="119"/>
  <c r="AQ342" i="119"/>
  <c r="AP342" i="119"/>
  <c r="AR342" i="119" a="1"/>
  <c r="AR342" i="119"/>
  <c r="A344" i="119"/>
  <c r="AP343" i="119"/>
  <c r="AQ343" i="119"/>
  <c r="AR343" i="119" a="1"/>
  <c r="AR343" i="119"/>
  <c r="AQ344" i="119"/>
  <c r="A345" i="119"/>
  <c r="AP344" i="119"/>
  <c r="AR344" i="119" a="1"/>
  <c r="AR344" i="119"/>
  <c r="AQ345" i="119"/>
  <c r="A346" i="119"/>
  <c r="AP345" i="119"/>
  <c r="AR345" i="119" a="1"/>
  <c r="AR345" i="119"/>
  <c r="A347" i="119"/>
  <c r="AQ346" i="119"/>
  <c r="AP346" i="119"/>
  <c r="AR346" i="119" a="1"/>
  <c r="AR346" i="119"/>
  <c r="AP347" i="119"/>
  <c r="AQ347" i="119"/>
  <c r="A348" i="119"/>
  <c r="AR347" i="119" a="1"/>
  <c r="AR347" i="119"/>
  <c r="AQ348" i="119"/>
  <c r="A349" i="119"/>
  <c r="AP348" i="119"/>
  <c r="AR348" i="119" a="1"/>
  <c r="AR348" i="119"/>
  <c r="A350" i="119"/>
  <c r="AQ349" i="119"/>
  <c r="AP349" i="119"/>
  <c r="AR349" i="119" a="1"/>
  <c r="AR349" i="119"/>
  <c r="A351" i="119"/>
  <c r="AP350" i="119"/>
  <c r="AQ350" i="119"/>
  <c r="AR350" i="119" a="1"/>
  <c r="AR350" i="119"/>
  <c r="AQ351" i="119"/>
  <c r="A352" i="119"/>
  <c r="AP351" i="119"/>
  <c r="AR351" i="119" a="1"/>
  <c r="AR351" i="119"/>
  <c r="AQ352" i="119"/>
  <c r="A353" i="119"/>
  <c r="AP352" i="119"/>
  <c r="AR352" i="119" a="1"/>
  <c r="AR352" i="119"/>
  <c r="AP353" i="119"/>
  <c r="A354" i="119"/>
  <c r="AQ353" i="119"/>
  <c r="AR353" i="119" a="1"/>
  <c r="AR353" i="119"/>
  <c r="A355" i="119"/>
  <c r="AP354" i="119"/>
  <c r="AQ354" i="119"/>
  <c r="AR354" i="119" a="1"/>
  <c r="AR354" i="119"/>
  <c r="AQ355" i="119"/>
  <c r="A356" i="119"/>
  <c r="AP355" i="119"/>
  <c r="AR355" i="119" a="1"/>
  <c r="AR355" i="119"/>
  <c r="AP356" i="119"/>
  <c r="A357" i="119"/>
  <c r="AQ356" i="119"/>
  <c r="AR356" i="119" a="1"/>
  <c r="AR356" i="119"/>
  <c r="A358" i="119"/>
  <c r="AQ357" i="119"/>
  <c r="AP357" i="119"/>
  <c r="AR357" i="119" a="1"/>
  <c r="AR357" i="119"/>
  <c r="A359" i="119"/>
  <c r="AP358" i="119"/>
  <c r="AQ358" i="119"/>
  <c r="AR358" i="119" a="1"/>
  <c r="AR358" i="119"/>
  <c r="A360" i="119"/>
  <c r="AP359" i="119"/>
  <c r="AQ359" i="119"/>
  <c r="AR359" i="119" a="1"/>
  <c r="AR359" i="119"/>
  <c r="AP360" i="119"/>
  <c r="A361" i="119"/>
  <c r="AQ360" i="119"/>
  <c r="AR360" i="119" a="1"/>
  <c r="AR360" i="119"/>
  <c r="AP361" i="119"/>
  <c r="A362" i="119"/>
  <c r="AQ361" i="119"/>
  <c r="AR361" i="119" a="1"/>
  <c r="AR361" i="119"/>
  <c r="AQ362" i="119"/>
  <c r="AP362" i="119"/>
  <c r="A363" i="119"/>
  <c r="AR362" i="119" a="1"/>
  <c r="AR362" i="119"/>
  <c r="AQ363" i="119"/>
  <c r="A364" i="119"/>
  <c r="AP363" i="119"/>
  <c r="AR363" i="119" a="1"/>
  <c r="AR363" i="119"/>
  <c r="AP364" i="119"/>
  <c r="AQ364" i="119"/>
  <c r="A365" i="119"/>
  <c r="AR364" i="119" a="1"/>
  <c r="AR364" i="119"/>
  <c r="A366" i="119"/>
  <c r="AQ365" i="119"/>
  <c r="AP365" i="119"/>
  <c r="AR365" i="119" a="1"/>
  <c r="AR365" i="119"/>
  <c r="A367" i="119"/>
  <c r="AQ366" i="119"/>
  <c r="AP366" i="119"/>
  <c r="AR366" i="119" a="1"/>
  <c r="AR366" i="119"/>
  <c r="A368" i="119"/>
  <c r="AP367" i="119"/>
  <c r="AQ367" i="119"/>
  <c r="AR367" i="119" a="1"/>
  <c r="AR367" i="119"/>
  <c r="AQ368" i="119"/>
  <c r="A369" i="119"/>
  <c r="AP368" i="119"/>
  <c r="AR368" i="119" a="1"/>
  <c r="AR368" i="119"/>
  <c r="AQ369" i="119"/>
  <c r="A370" i="119"/>
  <c r="AP369" i="119"/>
  <c r="AR369" i="119" a="1"/>
  <c r="AR369" i="119"/>
  <c r="A371" i="119"/>
  <c r="AP370" i="119"/>
  <c r="AQ370" i="119"/>
  <c r="AR370" i="119" a="1"/>
  <c r="AR370" i="119"/>
  <c r="AP371" i="119"/>
  <c r="A372" i="119"/>
  <c r="AQ371" i="119"/>
  <c r="AR371" i="119" a="1"/>
  <c r="AR371" i="119"/>
  <c r="AQ372" i="119"/>
  <c r="A373" i="119"/>
  <c r="AP372" i="119"/>
  <c r="AR372" i="119" a="1"/>
  <c r="AR372" i="119"/>
  <c r="A374" i="119"/>
  <c r="AP373" i="119"/>
  <c r="AQ373" i="119"/>
  <c r="AR373" i="119" a="1"/>
  <c r="AR373" i="119"/>
  <c r="A375" i="119"/>
  <c r="AQ374" i="119"/>
  <c r="AP374" i="119"/>
  <c r="AR374" i="119" a="1"/>
  <c r="AR374" i="119"/>
  <c r="A376" i="119"/>
  <c r="AQ375" i="119"/>
  <c r="AP375" i="119"/>
  <c r="AR375" i="119" a="1"/>
  <c r="AR375" i="119"/>
  <c r="AP376" i="119"/>
  <c r="A377" i="119"/>
  <c r="AQ376" i="119"/>
  <c r="AR376" i="119" a="1"/>
  <c r="AR376" i="119"/>
  <c r="AQ377" i="119"/>
  <c r="A378" i="119"/>
  <c r="AP377" i="119"/>
  <c r="AR377" i="119" a="1"/>
  <c r="AR377" i="119"/>
  <c r="A379" i="119"/>
  <c r="AQ378" i="119"/>
  <c r="AP378" i="119"/>
  <c r="AR378" i="119" a="1"/>
  <c r="AR378" i="119"/>
  <c r="AP379" i="119"/>
  <c r="AQ379" i="119"/>
  <c r="A380" i="119"/>
  <c r="AR379" i="119" a="1"/>
  <c r="AR379" i="119"/>
  <c r="AQ380" i="119"/>
  <c r="A381" i="119"/>
  <c r="AP380" i="119"/>
  <c r="AR380" i="119" a="1"/>
  <c r="AR380" i="119"/>
  <c r="A382" i="119"/>
  <c r="AP381" i="119"/>
  <c r="AQ381" i="119"/>
  <c r="AR381" i="119" a="1"/>
  <c r="AR381" i="119"/>
  <c r="A383" i="119"/>
  <c r="AQ382" i="119"/>
  <c r="AP382" i="119"/>
  <c r="AR382" i="119" a="1"/>
  <c r="AR382" i="119"/>
  <c r="AQ383" i="119"/>
  <c r="A384" i="119"/>
  <c r="AP383" i="119"/>
  <c r="AR383" i="119" a="1"/>
  <c r="AR383" i="119"/>
  <c r="AQ384" i="119"/>
  <c r="A385" i="119"/>
  <c r="AP384" i="119"/>
  <c r="AR384" i="119" a="1"/>
  <c r="AR384" i="119"/>
  <c r="AP385" i="119"/>
  <c r="A386" i="119"/>
  <c r="AQ385" i="119"/>
  <c r="AR385" i="119" a="1"/>
  <c r="AR385" i="119"/>
  <c r="A387" i="119"/>
  <c r="AQ386" i="119"/>
  <c r="AP386" i="119"/>
  <c r="AR386" i="119" a="1"/>
  <c r="AR386" i="119"/>
  <c r="AQ387" i="119"/>
  <c r="A388" i="119"/>
  <c r="AP387" i="119"/>
  <c r="AR387" i="119" a="1"/>
  <c r="AR387" i="119"/>
  <c r="AQ388" i="119"/>
  <c r="A389" i="119"/>
  <c r="AP388" i="119"/>
  <c r="AR388" i="119" a="1"/>
  <c r="AR388" i="119"/>
  <c r="A390" i="119"/>
  <c r="AP389" i="119"/>
  <c r="AQ389" i="119"/>
  <c r="AR389" i="119" a="1"/>
  <c r="AR389" i="119"/>
  <c r="A391" i="119"/>
  <c r="AQ390" i="119"/>
  <c r="AP390" i="119"/>
  <c r="AR390" i="119" a="1"/>
  <c r="AR390" i="119"/>
  <c r="A392" i="119"/>
  <c r="AP391" i="119"/>
  <c r="AQ391" i="119"/>
  <c r="AR391" i="119" a="1"/>
  <c r="AR391" i="119"/>
  <c r="AP392" i="119"/>
  <c r="A393" i="119"/>
  <c r="AQ392" i="119"/>
  <c r="AR392" i="119" a="1"/>
  <c r="AR392" i="119"/>
  <c r="AP393" i="119"/>
  <c r="A394" i="119"/>
  <c r="AQ393" i="119"/>
  <c r="AR393" i="119" a="1"/>
  <c r="AR393" i="119"/>
  <c r="AQ394" i="119"/>
  <c r="AP394" i="119"/>
  <c r="A395" i="119"/>
  <c r="AR394" i="119" a="1"/>
  <c r="AR394" i="119"/>
  <c r="AP395" i="119"/>
  <c r="A396" i="119"/>
  <c r="AQ395" i="119"/>
  <c r="AR395" i="119" a="1"/>
  <c r="AR395" i="119"/>
  <c r="AP396" i="119"/>
  <c r="AQ396" i="119"/>
  <c r="A397" i="119"/>
  <c r="AR396" i="119" a="1"/>
  <c r="AR396" i="119"/>
  <c r="A398" i="119"/>
  <c r="AQ397" i="119"/>
  <c r="AP397" i="119"/>
  <c r="AR397" i="119" a="1"/>
  <c r="AR397" i="119"/>
  <c r="A399" i="119"/>
  <c r="AQ398" i="119"/>
  <c r="AP398" i="119"/>
  <c r="AR398" i="119" a="1"/>
  <c r="AR398" i="119"/>
  <c r="A400" i="119"/>
  <c r="AQ399" i="119"/>
  <c r="AP399" i="119"/>
  <c r="AR399" i="119" a="1"/>
  <c r="AR399" i="119"/>
  <c r="AQ400" i="119"/>
  <c r="A401" i="119"/>
  <c r="AP400" i="119"/>
  <c r="AR400" i="119" a="1"/>
  <c r="AR400" i="119"/>
  <c r="AQ401" i="119"/>
  <c r="A402" i="119"/>
  <c r="AP401" i="119"/>
  <c r="AR401" i="119" a="1"/>
  <c r="AR401" i="119"/>
  <c r="A403" i="119"/>
  <c r="AQ402" i="119"/>
  <c r="AP402" i="119"/>
  <c r="AR402" i="119" a="1"/>
  <c r="AR402" i="119"/>
  <c r="AQ403" i="119"/>
  <c r="A404" i="119"/>
  <c r="AP403" i="119"/>
  <c r="AR403" i="119" a="1"/>
  <c r="AR403" i="119"/>
  <c r="AQ404" i="119"/>
  <c r="A405" i="119"/>
  <c r="AP404" i="119"/>
  <c r="AR404" i="119" a="1"/>
  <c r="AR404" i="119"/>
  <c r="A406" i="119"/>
  <c r="AP405" i="119"/>
  <c r="AQ405" i="119"/>
  <c r="AR405" i="119" a="1"/>
  <c r="AR405" i="119"/>
  <c r="A407" i="119"/>
  <c r="AP406" i="119"/>
  <c r="AQ406" i="119"/>
  <c r="AR406" i="119" a="1"/>
  <c r="AR406" i="119"/>
  <c r="A408" i="119"/>
  <c r="AQ407" i="119"/>
  <c r="AP407" i="119"/>
  <c r="AR407" i="119" a="1"/>
  <c r="AR407" i="119"/>
  <c r="AQ408" i="119"/>
  <c r="A409" i="119"/>
  <c r="AP408" i="119"/>
  <c r="AR408" i="119" a="1"/>
  <c r="AR408" i="119"/>
  <c r="AQ409" i="119"/>
  <c r="A410" i="119"/>
  <c r="AP409" i="119"/>
  <c r="AR409" i="119" a="1"/>
  <c r="AR409" i="119"/>
  <c r="A411" i="119"/>
  <c r="AQ410" i="119"/>
  <c r="AP410" i="119"/>
  <c r="AR410" i="119" a="1"/>
  <c r="AR410" i="119"/>
  <c r="AQ411" i="119"/>
  <c r="AP411" i="119"/>
  <c r="A412" i="119"/>
  <c r="AR411" i="119" a="1"/>
  <c r="AR411" i="119"/>
  <c r="AQ412" i="119"/>
  <c r="A413" i="119"/>
  <c r="AP412" i="119"/>
  <c r="AR412" i="119" a="1"/>
  <c r="AR412" i="119"/>
  <c r="A414" i="119"/>
  <c r="AQ413" i="119"/>
  <c r="AP413" i="119"/>
  <c r="AR413" i="119" a="1"/>
  <c r="AR413" i="119"/>
  <c r="A415" i="119"/>
  <c r="AQ414" i="119"/>
  <c r="AP414" i="119"/>
  <c r="AR414" i="119" a="1"/>
  <c r="AR414" i="119"/>
  <c r="A416" i="119"/>
  <c r="AQ415" i="119"/>
  <c r="AP415" i="119"/>
  <c r="AR415" i="119" a="1"/>
  <c r="AR415" i="119"/>
  <c r="AQ416" i="119"/>
  <c r="A417" i="119"/>
  <c r="AP416" i="119"/>
  <c r="AR416" i="119" a="1"/>
  <c r="AR416" i="119"/>
  <c r="AP417" i="119"/>
  <c r="A418" i="119"/>
  <c r="AQ417" i="119"/>
  <c r="AR417" i="119" a="1"/>
  <c r="AR417" i="119"/>
  <c r="A419" i="119"/>
  <c r="AQ418" i="119"/>
  <c r="AP418" i="119"/>
  <c r="AR418" i="119" a="1"/>
  <c r="AR418" i="119"/>
  <c r="AQ419" i="119"/>
  <c r="A420" i="119"/>
  <c r="AP419" i="119"/>
  <c r="AR419" i="119" a="1"/>
  <c r="AR419" i="119"/>
  <c r="AP420" i="119"/>
  <c r="A421" i="119"/>
  <c r="AQ420" i="119"/>
  <c r="AR420" i="119" a="1"/>
  <c r="AR420" i="119"/>
  <c r="A422" i="119"/>
  <c r="AQ421" i="119"/>
  <c r="AP421" i="119"/>
  <c r="AR421" i="119" a="1"/>
  <c r="AR421" i="119"/>
  <c r="A423" i="119"/>
  <c r="AP422" i="119"/>
  <c r="AQ422" i="119"/>
  <c r="AR422" i="119" a="1"/>
  <c r="AR422" i="119"/>
  <c r="A424" i="119"/>
  <c r="AP423" i="119"/>
  <c r="AQ423" i="119"/>
  <c r="AR423" i="119" a="1"/>
  <c r="AR423" i="119"/>
  <c r="AQ424" i="119"/>
  <c r="AP424" i="119"/>
  <c r="A425" i="119"/>
  <c r="AR424" i="119" a="1"/>
  <c r="AR424" i="119"/>
  <c r="AQ425" i="119"/>
  <c r="A426" i="119"/>
  <c r="AP425" i="119"/>
  <c r="AR425" i="119" a="1"/>
  <c r="AR425" i="119"/>
  <c r="AQ426" i="119"/>
  <c r="A427" i="119"/>
  <c r="AP426" i="119"/>
  <c r="AR426" i="119" a="1"/>
  <c r="AR426" i="119"/>
  <c r="AP427" i="119"/>
  <c r="AQ427" i="119"/>
  <c r="A428" i="119"/>
  <c r="AR427" i="119" a="1"/>
  <c r="AR427" i="119"/>
  <c r="AQ428" i="119"/>
  <c r="A429" i="119"/>
  <c r="AP428" i="119"/>
  <c r="AR428" i="119" a="1"/>
  <c r="AR428" i="119"/>
  <c r="A430" i="119"/>
  <c r="AQ429" i="119"/>
  <c r="AP429" i="119"/>
  <c r="AR429" i="119" a="1"/>
  <c r="AR429" i="119"/>
  <c r="A431" i="119"/>
  <c r="AQ430" i="119"/>
  <c r="AP430" i="119"/>
  <c r="AR430" i="119" a="1"/>
  <c r="AR430" i="119"/>
  <c r="A432" i="119"/>
  <c r="AQ431" i="119"/>
  <c r="AP431" i="119"/>
  <c r="AR431" i="119" a="1"/>
  <c r="AR431" i="119"/>
  <c r="AP432" i="119"/>
  <c r="A433" i="119"/>
  <c r="AQ432" i="119"/>
  <c r="AR432" i="119" a="1"/>
  <c r="AR432" i="119"/>
  <c r="AP433" i="119"/>
  <c r="A434" i="119"/>
  <c r="AQ433" i="119"/>
  <c r="AR433" i="119" a="1"/>
  <c r="AR433" i="119"/>
  <c r="A435" i="119"/>
  <c r="AQ434" i="119"/>
  <c r="AP434" i="119"/>
  <c r="AR434" i="119" a="1"/>
  <c r="AR434" i="119"/>
  <c r="AP435" i="119"/>
  <c r="A436" i="119"/>
  <c r="AQ435" i="119"/>
  <c r="AR435" i="119" a="1"/>
  <c r="AR435" i="119"/>
  <c r="AQ436" i="119"/>
  <c r="A437" i="119"/>
  <c r="AP436" i="119"/>
  <c r="AR436" i="119" a="1"/>
  <c r="AR436" i="119"/>
  <c r="A438" i="119"/>
  <c r="AP437" i="119"/>
  <c r="AQ437" i="119"/>
  <c r="AR437" i="119" a="1"/>
  <c r="AR437" i="119"/>
  <c r="A439" i="119"/>
  <c r="AP438" i="119"/>
  <c r="AQ438" i="119"/>
  <c r="AR438" i="119" a="1"/>
  <c r="AR438" i="119"/>
  <c r="AP439" i="119"/>
  <c r="AQ439" i="119"/>
  <c r="A440" i="119"/>
  <c r="AR439" i="119" a="1"/>
  <c r="AR439" i="119"/>
  <c r="AP440" i="119"/>
  <c r="A441" i="119"/>
  <c r="AQ440" i="119"/>
  <c r="AR440" i="119" a="1"/>
  <c r="AR440" i="119"/>
  <c r="AP441" i="119"/>
  <c r="AQ441" i="119"/>
  <c r="A442" i="119"/>
  <c r="AR441" i="119" a="1"/>
  <c r="AR441" i="119"/>
  <c r="AP442" i="119"/>
  <c r="AQ442" i="119"/>
  <c r="A443" i="119"/>
  <c r="AR442" i="119" a="1"/>
  <c r="AR442" i="119"/>
  <c r="AQ443" i="119"/>
  <c r="A444" i="119"/>
  <c r="AP443" i="119"/>
  <c r="AR443" i="119" a="1"/>
  <c r="AR443" i="119"/>
  <c r="AP444" i="119"/>
  <c r="AQ444" i="119"/>
  <c r="A445" i="119"/>
  <c r="AR444" i="119" a="1"/>
  <c r="AR444" i="119"/>
  <c r="A446" i="119"/>
  <c r="AQ445" i="119"/>
  <c r="AP445" i="119"/>
  <c r="AR445" i="119" a="1"/>
  <c r="AR445" i="119"/>
  <c r="A447" i="119"/>
  <c r="AP446" i="119"/>
  <c r="AQ446" i="119"/>
  <c r="AR446" i="119" a="1"/>
  <c r="AR446" i="119"/>
  <c r="A448" i="119"/>
  <c r="AQ447" i="119"/>
  <c r="AP447" i="119"/>
  <c r="AR447" i="119" a="1"/>
  <c r="AR447" i="119"/>
  <c r="AP448" i="119"/>
  <c r="A449" i="119"/>
  <c r="AQ448" i="119"/>
  <c r="AR448" i="119" a="1"/>
  <c r="AR448" i="119"/>
  <c r="AQ449" i="119"/>
  <c r="A450" i="119"/>
  <c r="AP449" i="119"/>
  <c r="AR449" i="119" a="1"/>
  <c r="AR449" i="119"/>
  <c r="A451" i="119"/>
  <c r="AP450" i="119"/>
  <c r="AQ450" i="119"/>
  <c r="AR450" i="119" a="1"/>
  <c r="AR450" i="119"/>
  <c r="AP451" i="119"/>
  <c r="A452" i="119"/>
  <c r="AQ451" i="119"/>
  <c r="AR451" i="119" a="1"/>
  <c r="AR451" i="119"/>
  <c r="AP452" i="119"/>
  <c r="A453" i="119"/>
  <c r="AQ452" i="119"/>
  <c r="AR452" i="119" a="1"/>
  <c r="AR452" i="119"/>
  <c r="A454" i="119"/>
  <c r="AQ453" i="119"/>
  <c r="AP453" i="119"/>
  <c r="AR453" i="119" a="1"/>
  <c r="AR453" i="119"/>
  <c r="A455" i="119"/>
  <c r="AP454" i="119"/>
  <c r="AQ454" i="119"/>
  <c r="AR454" i="119" a="1"/>
  <c r="AR454" i="119"/>
  <c r="A456" i="119"/>
  <c r="AP455" i="119"/>
  <c r="AQ455" i="119"/>
  <c r="AR455" i="119" a="1"/>
  <c r="AR455" i="119"/>
  <c r="AQ456" i="119"/>
  <c r="AP456" i="119"/>
  <c r="A457" i="119"/>
  <c r="AR456" i="119" a="1"/>
  <c r="AR456" i="119"/>
  <c r="AQ457" i="119"/>
  <c r="A458" i="119"/>
  <c r="AP457" i="119"/>
  <c r="AR457" i="119" a="1"/>
  <c r="AR457" i="119"/>
  <c r="AQ458" i="119"/>
  <c r="A459" i="119"/>
  <c r="AP458" i="119"/>
  <c r="AR458" i="119" a="1"/>
  <c r="AR458" i="119"/>
  <c r="AP459" i="119"/>
  <c r="AQ459" i="119"/>
  <c r="A460" i="119"/>
  <c r="AR459" i="119" a="1"/>
  <c r="AR459" i="119"/>
  <c r="AQ460" i="119"/>
  <c r="A461" i="119"/>
  <c r="AP460" i="119"/>
  <c r="AR460" i="119" a="1"/>
  <c r="AR460" i="119"/>
  <c r="A462" i="119"/>
  <c r="AP461" i="119"/>
  <c r="AQ461" i="119"/>
  <c r="AR461" i="119" a="1"/>
  <c r="AR461" i="119"/>
  <c r="A463" i="119"/>
  <c r="AQ462" i="119"/>
  <c r="AP462" i="119"/>
  <c r="AR462" i="119" a="1"/>
  <c r="AR462" i="119"/>
  <c r="A464" i="119"/>
  <c r="AP463" i="119"/>
  <c r="AQ463" i="119"/>
  <c r="AR463" i="119" a="1"/>
  <c r="AR463" i="119"/>
  <c r="AQ464" i="119"/>
  <c r="AP464" i="119"/>
  <c r="A465" i="119"/>
  <c r="AR464" i="119" a="1"/>
  <c r="AR464" i="119"/>
  <c r="AP465" i="119"/>
  <c r="AQ465" i="119"/>
  <c r="A466" i="119"/>
  <c r="AR465" i="119" a="1"/>
  <c r="AR465" i="119"/>
  <c r="A467" i="119"/>
  <c r="AQ466" i="119"/>
  <c r="AP466" i="119"/>
  <c r="AR466" i="119" a="1"/>
  <c r="AR466" i="119"/>
  <c r="A468" i="119"/>
  <c r="AP467" i="119"/>
  <c r="AQ467" i="119"/>
  <c r="AR467" i="119" a="1"/>
  <c r="AR467" i="119"/>
  <c r="AQ468" i="119"/>
  <c r="A469" i="119"/>
  <c r="AP468" i="119"/>
  <c r="AR468" i="119" a="1"/>
  <c r="AR468" i="119"/>
  <c r="A470" i="119"/>
  <c r="AP469" i="119"/>
  <c r="AQ469" i="119"/>
  <c r="AR469" i="119" a="1"/>
  <c r="AR469" i="119"/>
  <c r="A471" i="119"/>
  <c r="AQ470" i="119"/>
  <c r="AP470" i="119"/>
  <c r="AR470" i="119" a="1"/>
  <c r="AR470" i="119"/>
  <c r="A472" i="119"/>
  <c r="AQ471" i="119"/>
  <c r="AP471" i="119"/>
  <c r="AR471" i="119" a="1"/>
  <c r="AR471" i="119"/>
  <c r="AQ472" i="119"/>
  <c r="AP472" i="119"/>
  <c r="A473" i="119"/>
  <c r="AR472" i="119" a="1"/>
  <c r="AR472" i="119"/>
  <c r="AQ473" i="119"/>
  <c r="AP473" i="119"/>
  <c r="A474" i="119"/>
  <c r="AR473" i="119" a="1"/>
  <c r="AR473" i="119"/>
  <c r="A475" i="119"/>
  <c r="AP474" i="119"/>
  <c r="AQ474" i="119"/>
  <c r="AR474" i="119" a="1"/>
  <c r="AR474" i="119"/>
  <c r="A476" i="119"/>
  <c r="AQ475" i="119"/>
  <c r="AP475" i="119"/>
  <c r="AR475" i="119" a="1"/>
  <c r="AR475" i="119"/>
  <c r="AP476" i="119"/>
  <c r="AQ476" i="119"/>
  <c r="A477" i="119"/>
  <c r="AR476" i="119" a="1"/>
  <c r="AR476" i="119"/>
  <c r="A478" i="119"/>
  <c r="AP477" i="119"/>
  <c r="AQ477" i="119"/>
  <c r="AR477" i="119" a="1"/>
  <c r="AR477" i="119"/>
  <c r="A479" i="119"/>
  <c r="AP478" i="119"/>
  <c r="AQ478" i="119"/>
  <c r="AR478" i="119" a="1"/>
  <c r="AR478" i="119"/>
  <c r="A480" i="119"/>
  <c r="AP479" i="119"/>
  <c r="AQ479" i="119"/>
  <c r="AR479" i="119" a="1"/>
  <c r="AR479" i="119"/>
  <c r="AQ480" i="119"/>
  <c r="AP480" i="119"/>
  <c r="A481" i="119"/>
  <c r="AR480" i="119" a="1"/>
  <c r="AR480" i="119"/>
  <c r="AP481" i="119"/>
  <c r="AQ481" i="119"/>
  <c r="A482" i="119"/>
  <c r="AR481" i="119" a="1"/>
  <c r="AR481" i="119"/>
  <c r="A483" i="119"/>
  <c r="AP482" i="119"/>
  <c r="AQ482" i="119"/>
  <c r="AR482" i="119" a="1"/>
  <c r="AR482" i="119"/>
  <c r="A484" i="119"/>
  <c r="AQ483" i="119"/>
  <c r="AP483" i="119"/>
  <c r="AR483" i="119" a="1"/>
  <c r="AR483" i="119"/>
  <c r="AQ484" i="119"/>
  <c r="A485" i="119"/>
  <c r="AP484" i="119"/>
  <c r="AR484" i="119" a="1"/>
  <c r="AR484" i="119"/>
  <c r="A486" i="119"/>
  <c r="AQ485" i="119"/>
  <c r="AP485" i="119"/>
  <c r="AR485" i="119" a="1"/>
  <c r="AR485" i="119"/>
  <c r="A487" i="119"/>
  <c r="AQ486" i="119"/>
  <c r="AP486" i="119"/>
  <c r="AR486" i="119" a="1"/>
  <c r="AR486" i="119"/>
  <c r="A488" i="119"/>
  <c r="AQ487" i="119"/>
  <c r="AP487" i="119"/>
  <c r="AR487" i="119" a="1"/>
  <c r="AR487" i="119"/>
  <c r="AQ488" i="119"/>
  <c r="A489" i="119"/>
  <c r="AP488" i="119"/>
  <c r="AR488" i="119" a="1"/>
  <c r="AR488" i="119"/>
  <c r="AP489" i="119"/>
  <c r="AQ489" i="119"/>
  <c r="A490" i="119"/>
  <c r="AR489" i="119" a="1"/>
  <c r="AR489" i="119"/>
  <c r="A491" i="119"/>
  <c r="AP490" i="119"/>
  <c r="AQ490" i="119"/>
  <c r="AR490" i="119" a="1"/>
  <c r="AR490" i="119"/>
  <c r="A492" i="119"/>
  <c r="AP491" i="119"/>
  <c r="AQ491" i="119"/>
  <c r="AR491" i="119" a="1"/>
  <c r="AR491" i="119"/>
  <c r="AQ492" i="119"/>
  <c r="A493" i="119"/>
  <c r="AP492" i="119"/>
  <c r="AR492" i="119" a="1"/>
  <c r="AR492" i="119"/>
  <c r="AQ493" i="119"/>
  <c r="AP493" i="119"/>
  <c r="A494" i="119"/>
  <c r="AR493" i="119" a="1"/>
  <c r="AR493" i="119"/>
  <c r="AQ494" i="119"/>
  <c r="A495" i="119"/>
  <c r="AP494" i="119"/>
  <c r="AR494" i="119" a="1"/>
  <c r="AR494" i="119"/>
  <c r="A496" i="119"/>
  <c r="AP495" i="119"/>
  <c r="AQ495" i="119"/>
  <c r="AR495" i="119" a="1"/>
  <c r="AR495" i="119"/>
  <c r="A497" i="119"/>
  <c r="AQ496" i="119"/>
  <c r="AP496" i="119"/>
  <c r="AR496" i="119" a="1"/>
  <c r="AR496" i="119"/>
  <c r="AP497" i="119"/>
  <c r="A498" i="119"/>
  <c r="AQ497" i="119"/>
  <c r="AR497" i="119" a="1"/>
  <c r="AR497" i="119"/>
  <c r="AQ498" i="119"/>
  <c r="A499" i="119"/>
  <c r="AP498" i="119"/>
  <c r="AR498" i="119" a="1"/>
  <c r="AR498" i="119"/>
  <c r="A500" i="119"/>
  <c r="AP499" i="119"/>
  <c r="AQ499" i="119"/>
  <c r="AR499" i="119" a="1"/>
  <c r="AR499" i="119"/>
  <c r="A501" i="119"/>
  <c r="AQ500" i="119"/>
  <c r="AP500" i="119"/>
  <c r="AR500" i="119" a="1"/>
  <c r="AR500" i="119"/>
  <c r="AP501" i="119"/>
  <c r="AQ501" i="119"/>
  <c r="A502" i="119"/>
  <c r="AR501" i="119" a="1"/>
  <c r="AR501" i="119"/>
  <c r="AP502" i="119"/>
  <c r="A503" i="119"/>
  <c r="AQ502" i="119"/>
  <c r="AR502" i="119" a="1"/>
  <c r="AR502" i="119"/>
  <c r="A504" i="119"/>
  <c r="AQ503" i="119"/>
  <c r="AP503" i="119"/>
  <c r="AR503" i="119" a="1"/>
  <c r="AR503" i="119"/>
  <c r="AP504" i="119"/>
  <c r="AQ504" i="119"/>
  <c r="A505" i="119"/>
  <c r="AR504" i="119" a="1"/>
  <c r="AR504" i="119"/>
  <c r="AQ505" i="119"/>
  <c r="A506" i="119"/>
  <c r="AP505" i="119"/>
  <c r="AR505" i="119" a="1"/>
  <c r="AR505" i="119"/>
  <c r="AP506" i="119"/>
  <c r="AQ506" i="119"/>
  <c r="A507" i="119"/>
  <c r="AR506" i="119" a="1"/>
  <c r="AR506" i="119"/>
  <c r="A508" i="119"/>
  <c r="AP507" i="119"/>
  <c r="AQ507" i="119"/>
  <c r="AR507" i="119" a="1"/>
  <c r="AR507" i="119"/>
  <c r="AQ508" i="119"/>
  <c r="A509" i="119"/>
  <c r="AP508" i="119"/>
  <c r="AR508" i="119" a="1"/>
  <c r="AR508" i="119"/>
  <c r="AQ509" i="119"/>
  <c r="A510" i="119"/>
  <c r="AP509" i="119"/>
  <c r="AR509" i="119" a="1"/>
  <c r="AR509" i="119"/>
  <c r="AP510" i="119"/>
  <c r="A511" i="119"/>
  <c r="AQ510" i="119"/>
  <c r="AR510" i="119" a="1"/>
  <c r="AR510" i="119"/>
  <c r="A512" i="119"/>
  <c r="AQ511" i="119"/>
  <c r="AP511" i="119"/>
  <c r="AR511" i="119" a="1"/>
  <c r="AR511" i="119"/>
  <c r="A513" i="119"/>
  <c r="AP512" i="119"/>
  <c r="AQ512" i="119"/>
  <c r="AR512" i="119" a="1"/>
  <c r="AR512" i="119"/>
  <c r="AQ513" i="119"/>
  <c r="A514" i="119"/>
  <c r="AP513" i="119"/>
  <c r="AR513" i="119" a="1"/>
  <c r="AR513" i="119"/>
  <c r="AQ514" i="119"/>
  <c r="A515" i="119"/>
  <c r="AP514" i="119"/>
  <c r="AR514" i="119" a="1"/>
  <c r="AR514" i="119"/>
  <c r="A516" i="119"/>
  <c r="AQ515" i="119"/>
  <c r="AP515" i="119"/>
  <c r="AR515" i="119" a="1"/>
  <c r="AR515" i="119"/>
  <c r="AP516" i="119"/>
  <c r="AQ516" i="119"/>
  <c r="A517" i="119"/>
  <c r="AR516" i="119" a="1"/>
  <c r="AR516" i="119"/>
  <c r="AP517" i="119"/>
  <c r="A518" i="119"/>
  <c r="AQ517" i="119"/>
  <c r="AR517" i="119" a="1"/>
  <c r="AR517" i="119"/>
  <c r="AP518" i="119"/>
  <c r="AQ518" i="119"/>
  <c r="A519" i="119"/>
  <c r="AR518" i="119" a="1"/>
  <c r="AR518" i="119"/>
  <c r="A520" i="119"/>
  <c r="AQ519" i="119"/>
  <c r="AP519" i="119"/>
  <c r="AR519" i="119" a="1"/>
  <c r="AR519" i="119"/>
  <c r="A521" i="119"/>
  <c r="AQ520" i="119"/>
  <c r="AP520" i="119"/>
  <c r="AR520" i="119" a="1"/>
  <c r="AR520" i="119"/>
  <c r="AP521" i="119"/>
  <c r="AQ521" i="119"/>
  <c r="A522" i="119"/>
  <c r="AR521" i="119" a="1"/>
  <c r="AR521" i="119"/>
  <c r="AQ522" i="119"/>
  <c r="A523" i="119"/>
  <c r="AP522" i="119"/>
  <c r="AR522" i="119" a="1"/>
  <c r="AR522" i="119"/>
  <c r="A524" i="119"/>
  <c r="AQ523" i="119"/>
  <c r="AP523" i="119"/>
  <c r="AR523" i="119" a="1"/>
  <c r="AR523" i="119"/>
  <c r="A525" i="119"/>
  <c r="AP524" i="119"/>
  <c r="AQ524" i="119"/>
  <c r="AR524" i="119" a="1"/>
  <c r="AR524" i="119"/>
  <c r="AP525" i="119"/>
  <c r="A526" i="119"/>
  <c r="AQ525" i="119"/>
  <c r="AR525" i="119" a="1"/>
  <c r="AR525" i="119"/>
  <c r="AP526" i="119"/>
  <c r="A527" i="119"/>
  <c r="AQ526" i="119"/>
  <c r="AR526" i="119" a="1"/>
  <c r="AR526" i="119"/>
  <c r="A528" i="119"/>
  <c r="AQ527" i="119"/>
  <c r="AP527" i="119"/>
  <c r="AR527" i="119" a="1"/>
  <c r="AR527" i="119"/>
  <c r="A529" i="119"/>
  <c r="AP528" i="119"/>
  <c r="AQ528" i="119"/>
  <c r="AR528" i="119" a="1"/>
  <c r="AR528" i="119"/>
  <c r="AP529" i="119"/>
  <c r="A530" i="119"/>
  <c r="AQ529" i="119"/>
  <c r="AR529" i="119" a="1"/>
  <c r="AR529" i="119"/>
  <c r="AQ530" i="119"/>
  <c r="A531" i="119"/>
  <c r="AP530" i="119"/>
  <c r="AR530" i="119" a="1"/>
  <c r="AR530" i="119"/>
  <c r="A532" i="119"/>
  <c r="AP531" i="119"/>
  <c r="AQ531" i="119"/>
  <c r="AR531" i="119" a="1"/>
  <c r="AR531" i="119"/>
  <c r="A533" i="119"/>
  <c r="AQ532" i="119"/>
  <c r="AP532" i="119"/>
  <c r="AR532" i="119" a="1"/>
  <c r="AR532" i="119"/>
  <c r="AQ533" i="119"/>
  <c r="AP533" i="119"/>
  <c r="A534" i="119"/>
  <c r="AR533" i="119" a="1"/>
  <c r="AR533" i="119"/>
  <c r="AP534" i="119"/>
  <c r="A535" i="119"/>
  <c r="AQ534" i="119"/>
  <c r="AR534" i="119" a="1"/>
  <c r="AR534" i="119"/>
  <c r="A536" i="119"/>
  <c r="AQ535" i="119"/>
  <c r="AP535" i="119"/>
  <c r="AR535" i="119" a="1"/>
  <c r="AR535" i="119"/>
  <c r="AQ536" i="119"/>
  <c r="AP536" i="119"/>
  <c r="A537" i="119"/>
  <c r="AR536" i="119" a="1"/>
  <c r="AR536" i="119"/>
  <c r="AP537" i="119"/>
  <c r="A538" i="119"/>
  <c r="AQ537" i="119"/>
  <c r="AR537" i="119" a="1"/>
  <c r="AR537" i="119"/>
  <c r="AQ538" i="119"/>
  <c r="AP538" i="119"/>
  <c r="A539" i="119"/>
  <c r="AR538" i="119" a="1"/>
  <c r="AR538" i="119"/>
  <c r="A540" i="119"/>
  <c r="AP539" i="119"/>
  <c r="AQ539" i="119"/>
  <c r="AR539" i="119" a="1"/>
  <c r="AR539" i="119"/>
  <c r="AQ540" i="119"/>
  <c r="A541" i="119"/>
  <c r="AP540" i="119"/>
  <c r="AR540" i="119" a="1"/>
  <c r="AR540" i="119"/>
  <c r="AP541" i="119"/>
  <c r="A542" i="119"/>
  <c r="AQ541" i="119"/>
  <c r="AR541" i="119" a="1"/>
  <c r="AR541" i="119"/>
  <c r="AQ542" i="119"/>
  <c r="A543" i="119"/>
  <c r="AP542" i="119"/>
  <c r="AR542" i="119" a="1"/>
  <c r="AR542" i="119"/>
  <c r="A544" i="119"/>
  <c r="AQ543" i="119"/>
  <c r="AP543" i="119"/>
  <c r="AR543" i="119" a="1"/>
  <c r="AR543" i="119"/>
  <c r="A545" i="119"/>
  <c r="AP544" i="119"/>
  <c r="AQ544" i="119"/>
  <c r="AR544" i="119" a="1"/>
  <c r="AR544" i="119"/>
  <c r="AP545" i="119"/>
  <c r="A546" i="119"/>
  <c r="AQ545" i="119"/>
  <c r="AR545" i="119" a="1"/>
  <c r="AR545" i="119"/>
  <c r="AP546" i="119"/>
  <c r="A547" i="119"/>
  <c r="AQ546" i="119"/>
  <c r="AR546" i="119" a="1"/>
  <c r="AR546" i="119"/>
  <c r="A548" i="119"/>
  <c r="AQ547" i="119"/>
  <c r="AP547" i="119"/>
  <c r="AR547" i="119" a="1"/>
  <c r="AR547" i="119"/>
  <c r="AP548" i="119"/>
  <c r="AQ548" i="119"/>
  <c r="A549" i="119"/>
  <c r="AR548" i="119" a="1"/>
  <c r="AR548" i="119"/>
  <c r="AQ549" i="119"/>
  <c r="A550" i="119"/>
  <c r="AP549" i="119"/>
  <c r="AR549" i="119" a="1"/>
  <c r="AR549" i="119"/>
  <c r="AQ550" i="119"/>
  <c r="AP550" i="119"/>
  <c r="A551" i="119"/>
  <c r="AR550" i="119" a="1"/>
  <c r="AR550" i="119"/>
  <c r="A552" i="119"/>
  <c r="AQ551" i="119"/>
  <c r="AP551" i="119"/>
  <c r="AR551" i="119" a="1"/>
  <c r="AR551" i="119"/>
  <c r="A553" i="119"/>
  <c r="AP552" i="119"/>
  <c r="AQ552" i="119"/>
  <c r="AR552" i="119" a="1"/>
  <c r="AR552" i="119"/>
  <c r="AQ553" i="119"/>
  <c r="AP553" i="119"/>
  <c r="A554" i="119"/>
  <c r="AR553" i="119" a="1"/>
  <c r="AR553" i="119"/>
  <c r="AP554" i="119"/>
  <c r="A555" i="119"/>
  <c r="AQ554" i="119"/>
  <c r="AR554" i="119" a="1"/>
  <c r="AR554" i="119"/>
  <c r="A556" i="119"/>
  <c r="AQ555" i="119"/>
  <c r="AP555" i="119"/>
  <c r="AR555" i="119" a="1"/>
  <c r="AR555" i="119"/>
  <c r="A557" i="119"/>
  <c r="AP556" i="119"/>
  <c r="AQ556" i="119"/>
  <c r="AR556" i="119" a="1"/>
  <c r="AR556" i="119"/>
  <c r="AP557" i="119"/>
  <c r="A558" i="119"/>
  <c r="AQ557" i="119"/>
  <c r="AR557" i="119" a="1"/>
  <c r="AR557" i="119"/>
  <c r="AQ558" i="119"/>
  <c r="A559" i="119"/>
  <c r="AP558" i="119"/>
  <c r="AR558" i="119" a="1"/>
  <c r="AR558" i="119"/>
  <c r="A560" i="119"/>
  <c r="AP559" i="119"/>
  <c r="AQ559" i="119"/>
  <c r="AR559" i="119" a="1"/>
  <c r="AR559" i="119"/>
  <c r="A561" i="119"/>
  <c r="AP560" i="119"/>
  <c r="AQ560" i="119"/>
  <c r="AR560" i="119" a="1"/>
  <c r="AR560" i="119"/>
  <c r="AQ561" i="119"/>
  <c r="A562" i="119"/>
  <c r="AP561" i="119"/>
  <c r="AR561" i="119" a="1"/>
  <c r="AR561" i="119"/>
  <c r="AP562" i="119"/>
  <c r="A563" i="119"/>
  <c r="AQ562" i="119"/>
  <c r="AR562" i="119" a="1"/>
  <c r="AR562" i="119"/>
  <c r="A564" i="119"/>
  <c r="AP563" i="119"/>
  <c r="AQ563" i="119"/>
  <c r="AR563" i="119" a="1"/>
  <c r="AR563" i="119"/>
  <c r="A565" i="119"/>
  <c r="AP564" i="119"/>
  <c r="AQ564" i="119"/>
  <c r="AR564" i="119" a="1"/>
  <c r="AR564" i="119"/>
  <c r="AQ565" i="119"/>
  <c r="AP565" i="119"/>
  <c r="A566" i="119"/>
  <c r="AR565" i="119" a="1"/>
  <c r="AR565" i="119"/>
  <c r="AP566" i="119"/>
  <c r="A567" i="119"/>
  <c r="AQ566" i="119"/>
  <c r="AR566" i="119" a="1"/>
  <c r="AR566" i="119"/>
  <c r="A568" i="119"/>
  <c r="AQ567" i="119"/>
  <c r="AP567" i="119"/>
  <c r="AR567" i="119" a="1"/>
  <c r="AR567" i="119"/>
  <c r="AQ568" i="119"/>
  <c r="AP568" i="119"/>
  <c r="A569" i="119"/>
  <c r="AR568" i="119" a="1"/>
  <c r="AR568" i="119"/>
  <c r="AP569" i="119"/>
  <c r="A570" i="119"/>
  <c r="AQ569" i="119"/>
  <c r="AR569" i="119" a="1"/>
  <c r="AR569" i="119"/>
  <c r="AP570" i="119"/>
  <c r="AQ570" i="119"/>
  <c r="A571" i="119"/>
  <c r="AR570" i="119" a="1"/>
  <c r="AR570" i="119"/>
  <c r="A572" i="119"/>
  <c r="AP571" i="119"/>
  <c r="AQ571" i="119"/>
  <c r="AR571" i="119" a="1"/>
  <c r="AR571" i="119"/>
  <c r="AP572" i="119"/>
  <c r="A573" i="119"/>
  <c r="AQ572" i="119"/>
  <c r="AR572" i="119" a="1"/>
  <c r="AR572" i="119"/>
  <c r="AQ573" i="119"/>
  <c r="A574" i="119"/>
  <c r="AP573" i="119"/>
  <c r="AR573" i="119" a="1"/>
  <c r="AR573" i="119"/>
  <c r="AQ574" i="119"/>
  <c r="A575" i="119"/>
  <c r="AP574" i="119"/>
  <c r="AR574" i="119" a="1"/>
  <c r="AR574" i="119"/>
  <c r="A576" i="119"/>
  <c r="AQ575" i="119"/>
  <c r="AP575" i="119"/>
  <c r="AR575" i="119" a="1"/>
  <c r="AR575" i="119"/>
  <c r="A577" i="119"/>
  <c r="AQ576" i="119"/>
  <c r="AP576" i="119"/>
  <c r="AR576" i="119" a="1"/>
  <c r="AR576" i="119"/>
  <c r="AP577" i="119"/>
  <c r="A578" i="119"/>
  <c r="AQ577" i="119"/>
  <c r="AR577" i="119" a="1"/>
  <c r="AR577" i="119"/>
  <c r="AQ578" i="119"/>
  <c r="A579" i="119"/>
  <c r="AP578" i="119"/>
  <c r="AR578" i="119" a="1"/>
  <c r="AR578" i="119"/>
  <c r="A580" i="119"/>
  <c r="AP579" i="119"/>
  <c r="AQ579" i="119"/>
  <c r="AR579" i="119" a="1"/>
  <c r="AR579" i="119"/>
  <c r="AP580" i="119"/>
  <c r="AQ580" i="119"/>
  <c r="A581" i="119"/>
  <c r="AR580" i="119" a="1"/>
  <c r="AR580" i="119"/>
  <c r="AQ581" i="119"/>
  <c r="A582" i="119"/>
  <c r="AP581" i="119"/>
  <c r="AR581" i="119" a="1"/>
  <c r="AR581" i="119"/>
  <c r="AP582" i="119"/>
  <c r="AQ582" i="119"/>
  <c r="A583" i="119"/>
  <c r="AR582" i="119" a="1"/>
  <c r="AR582" i="119"/>
  <c r="A584" i="119"/>
  <c r="AQ583" i="119"/>
  <c r="AP583" i="119"/>
  <c r="AR583" i="119" a="1"/>
  <c r="AR583" i="119"/>
  <c r="A585" i="119"/>
  <c r="AP584" i="119"/>
  <c r="AQ584" i="119"/>
  <c r="AR584" i="119" a="1"/>
  <c r="AR584" i="119"/>
  <c r="AP585" i="119"/>
  <c r="AQ585" i="119"/>
  <c r="A586" i="119"/>
  <c r="AR585" i="119" a="1"/>
  <c r="AR585" i="119"/>
  <c r="AQ586" i="119"/>
  <c r="A587" i="119"/>
  <c r="AP586" i="119"/>
  <c r="AR586" i="119" a="1"/>
  <c r="AR586" i="119"/>
  <c r="A588" i="119"/>
  <c r="AQ587" i="119"/>
  <c r="AP587" i="119"/>
  <c r="AR587" i="119" a="1"/>
  <c r="AR587" i="119"/>
  <c r="A589" i="119"/>
  <c r="AP588" i="119"/>
  <c r="AQ588" i="119"/>
  <c r="AR588" i="119" a="1"/>
  <c r="AR588" i="119"/>
  <c r="AP589" i="119"/>
  <c r="A590" i="119"/>
  <c r="AQ589" i="119"/>
  <c r="AR589" i="119" a="1"/>
  <c r="AR589" i="119"/>
  <c r="AP590" i="119"/>
  <c r="A591" i="119"/>
  <c r="AQ590" i="119"/>
  <c r="AR590" i="119" a="1"/>
  <c r="AR590" i="119"/>
  <c r="A592" i="119"/>
  <c r="AP591" i="119"/>
  <c r="AQ591" i="119"/>
  <c r="AR591" i="119" a="1"/>
  <c r="AR591" i="119"/>
  <c r="A593" i="119"/>
  <c r="AP592" i="119"/>
  <c r="AQ592" i="119"/>
  <c r="AR592" i="119" a="1"/>
  <c r="AR592" i="119"/>
  <c r="AP593" i="119"/>
  <c r="A594" i="119"/>
  <c r="AQ593" i="119"/>
  <c r="AR593" i="119" a="1"/>
  <c r="AR593" i="119"/>
  <c r="AP594" i="119"/>
  <c r="A595" i="119"/>
  <c r="AQ594" i="119"/>
  <c r="AR594" i="119" a="1"/>
  <c r="AR594" i="119"/>
  <c r="A596" i="119"/>
  <c r="AP595" i="119"/>
  <c r="AQ595" i="119"/>
  <c r="AR595" i="119" a="1"/>
  <c r="AR595" i="119"/>
  <c r="A597" i="119"/>
  <c r="AQ596" i="119"/>
  <c r="AP596" i="119"/>
  <c r="AR596" i="119" a="1"/>
  <c r="AR596" i="119"/>
  <c r="AP597" i="119"/>
  <c r="AQ597" i="119"/>
  <c r="A598" i="119"/>
  <c r="AR597" i="119" a="1"/>
  <c r="AR597" i="119"/>
  <c r="AQ598" i="119"/>
  <c r="A599" i="119"/>
  <c r="AP598" i="119"/>
  <c r="AR598" i="119" a="1"/>
  <c r="AR598" i="119"/>
  <c r="A600" i="119"/>
  <c r="AP599" i="119"/>
  <c r="AQ599" i="119"/>
  <c r="AR599" i="119" a="1"/>
  <c r="AR599" i="119"/>
  <c r="AQ600" i="119"/>
  <c r="AP600" i="119"/>
  <c r="A601" i="119"/>
  <c r="AR600" i="119" a="1"/>
  <c r="AR600" i="119"/>
  <c r="AQ601" i="119"/>
  <c r="A602" i="119"/>
  <c r="AP601" i="119"/>
  <c r="AR601" i="119" a="1"/>
  <c r="AR601" i="119"/>
  <c r="AQ602" i="119"/>
  <c r="AP602" i="119"/>
  <c r="A603" i="119"/>
  <c r="AQ603" i="119"/>
  <c r="A604" i="119"/>
  <c r="AP603" i="119"/>
  <c r="A605" i="119"/>
  <c r="AP604" i="119"/>
  <c r="AQ604" i="119"/>
  <c r="A606" i="119"/>
  <c r="AQ605" i="119"/>
  <c r="AP605" i="119"/>
  <c r="AQ606" i="119"/>
  <c r="A607" i="119"/>
  <c r="AP606" i="119"/>
  <c r="AQ607" i="119"/>
  <c r="A608" i="119"/>
  <c r="AP607" i="119"/>
  <c r="AP608" i="119"/>
  <c r="AQ608" i="119"/>
  <c r="A609" i="119"/>
  <c r="A610" i="119"/>
  <c r="AQ609" i="119"/>
  <c r="AP609" i="119"/>
  <c r="AQ610" i="119"/>
  <c r="A611" i="119"/>
  <c r="AP610" i="119"/>
  <c r="AP611" i="119"/>
  <c r="A612" i="119"/>
  <c r="AQ611" i="119"/>
  <c r="A613" i="119"/>
  <c r="AQ612" i="119"/>
  <c r="AP612" i="119"/>
  <c r="A614" i="119"/>
  <c r="AQ613" i="119"/>
  <c r="AP613" i="119"/>
  <c r="AP614" i="119"/>
  <c r="A615" i="119"/>
  <c r="AQ614" i="119"/>
  <c r="AQ615" i="119"/>
  <c r="AP615" i="119"/>
  <c r="A616" i="119"/>
  <c r="AP616" i="119"/>
  <c r="A617" i="119"/>
  <c r="AQ616" i="119"/>
  <c r="A618" i="119"/>
  <c r="AP617" i="119"/>
  <c r="AQ617" i="119"/>
  <c r="AP618" i="119"/>
  <c r="A619" i="119"/>
  <c r="AQ618" i="119"/>
  <c r="AQ619" i="119"/>
  <c r="A620" i="119"/>
  <c r="AP619" i="119"/>
  <c r="AQ620" i="119"/>
  <c r="AP620" i="119"/>
  <c r="A621" i="119"/>
  <c r="A622" i="119"/>
  <c r="AP621" i="119"/>
  <c r="AQ621" i="119"/>
  <c r="A623" i="119"/>
  <c r="AP622" i="119"/>
  <c r="AQ622" i="119"/>
  <c r="A624" i="119"/>
  <c r="AQ623" i="119"/>
  <c r="AP623" i="119"/>
  <c r="A625" i="119"/>
  <c r="AP624" i="119"/>
  <c r="AQ624" i="119"/>
  <c r="AQ625" i="119"/>
  <c r="A626" i="119"/>
  <c r="AP625" i="119"/>
  <c r="A627" i="119"/>
  <c r="AQ626" i="119"/>
  <c r="AP626" i="119"/>
  <c r="AP627" i="119"/>
  <c r="AQ627" i="119"/>
  <c r="A628" i="119"/>
  <c r="AP628" i="119"/>
  <c r="AQ628" i="119"/>
  <c r="A629" i="119"/>
  <c r="A630" i="119"/>
  <c r="AQ629" i="119"/>
  <c r="AP629" i="119"/>
  <c r="A631" i="119"/>
  <c r="AP630" i="119"/>
  <c r="AQ630" i="119"/>
  <c r="A632" i="119"/>
  <c r="AQ631" i="119"/>
  <c r="AP631" i="119"/>
  <c r="A633" i="119"/>
  <c r="AQ632" i="119"/>
  <c r="AP632" i="119"/>
  <c r="AQ633" i="119"/>
  <c r="A634" i="119"/>
  <c r="AP633" i="119"/>
  <c r="A635" i="119"/>
  <c r="AQ634" i="119"/>
  <c r="AP634" i="119"/>
  <c r="AP635" i="119"/>
  <c r="AQ635" i="119"/>
  <c r="A636" i="119"/>
  <c r="AQ636" i="119"/>
  <c r="AP636" i="119"/>
  <c r="A637" i="119"/>
  <c r="A638" i="119"/>
  <c r="AP637" i="119"/>
  <c r="AQ637" i="119"/>
  <c r="A639" i="119"/>
  <c r="AP638" i="119"/>
  <c r="AQ638" i="119"/>
  <c r="A640" i="119"/>
  <c r="AP639" i="119"/>
  <c r="AQ639" i="119"/>
  <c r="A641" i="119"/>
  <c r="AP640" i="119"/>
  <c r="AQ640" i="119"/>
  <c r="AQ641" i="119"/>
  <c r="A642" i="119"/>
  <c r="AP641" i="119"/>
  <c r="A643" i="119"/>
  <c r="AQ642" i="119"/>
  <c r="AP642" i="119"/>
  <c r="AP643" i="119"/>
  <c r="AQ643" i="119"/>
  <c r="A644" i="119"/>
  <c r="AP644" i="119"/>
  <c r="AQ644" i="119"/>
  <c r="A645" i="119"/>
  <c r="A646" i="119"/>
  <c r="AQ645" i="119"/>
  <c r="AP645" i="119"/>
  <c r="A647" i="119"/>
  <c r="AP646" i="119"/>
  <c r="AQ646" i="119"/>
  <c r="A648" i="119"/>
  <c r="AP647" i="119"/>
  <c r="AQ647" i="119"/>
  <c r="A649" i="119"/>
  <c r="AP648" i="119"/>
  <c r="AQ648" i="119"/>
  <c r="AP649" i="119"/>
  <c r="A650" i="119"/>
  <c r="AQ649" i="119"/>
  <c r="A651" i="119"/>
  <c r="AP650" i="119"/>
  <c r="AQ650" i="119"/>
  <c r="AQ651" i="119"/>
  <c r="AP651" i="119"/>
  <c r="A652" i="119"/>
  <c r="AP652" i="119"/>
  <c r="AQ652" i="119"/>
  <c r="A653" i="119"/>
  <c r="A654" i="119"/>
  <c r="AQ653" i="119"/>
  <c r="AP653" i="119"/>
  <c r="A655" i="119"/>
  <c r="AP654" i="119"/>
  <c r="AQ654" i="119"/>
  <c r="A656" i="119"/>
  <c r="AQ655" i="119"/>
  <c r="AP655" i="119"/>
  <c r="A657" i="119"/>
  <c r="AQ656" i="119"/>
  <c r="AP656" i="119"/>
  <c r="AP657" i="119"/>
  <c r="A658" i="119"/>
  <c r="AQ657" i="119"/>
  <c r="A659" i="119"/>
  <c r="AP658" i="119"/>
  <c r="AQ658" i="119"/>
  <c r="AP659" i="119"/>
  <c r="AQ659" i="119"/>
  <c r="A660" i="119"/>
  <c r="AP660" i="119"/>
  <c r="AQ660" i="119"/>
  <c r="A661" i="119"/>
  <c r="A662" i="119"/>
  <c r="AP661" i="119"/>
  <c r="AQ661" i="119"/>
  <c r="A663" i="119"/>
  <c r="AP662" i="119"/>
  <c r="AQ662" i="119"/>
  <c r="A664" i="119"/>
  <c r="AQ663" i="119"/>
  <c r="AP663" i="119"/>
  <c r="A665" i="119"/>
  <c r="AP664" i="119"/>
  <c r="AQ664" i="119"/>
  <c r="AQ665" i="119"/>
  <c r="A666" i="119"/>
  <c r="AP665" i="119"/>
  <c r="A667" i="119"/>
  <c r="AQ666" i="119"/>
  <c r="AP666" i="119"/>
  <c r="AQ667" i="119"/>
  <c r="AP667" i="119"/>
  <c r="A668" i="119"/>
  <c r="AQ668" i="119"/>
  <c r="AP668" i="119"/>
  <c r="A669" i="119"/>
  <c r="A670" i="119"/>
  <c r="AP669" i="119"/>
  <c r="AQ669" i="119"/>
  <c r="A671" i="119"/>
  <c r="AP670" i="119"/>
  <c r="AQ670" i="119"/>
  <c r="A672" i="119"/>
  <c r="AP671" i="119"/>
  <c r="AQ671" i="119"/>
  <c r="A673" i="119"/>
  <c r="AP672" i="119"/>
  <c r="AQ672" i="119"/>
  <c r="AP673" i="119"/>
  <c r="A674" i="119"/>
  <c r="AQ673" i="119"/>
  <c r="A675" i="119"/>
  <c r="AP674" i="119"/>
  <c r="AQ674" i="119"/>
  <c r="AP675" i="119"/>
  <c r="AQ675" i="119"/>
  <c r="A676" i="119"/>
  <c r="AQ676" i="119"/>
  <c r="AP676" i="119"/>
  <c r="A677" i="119"/>
  <c r="A678" i="119"/>
  <c r="AQ677" i="119"/>
  <c r="AP677" i="119"/>
  <c r="A679" i="119"/>
  <c r="AP678" i="119"/>
  <c r="AQ678" i="119"/>
  <c r="A680" i="119"/>
  <c r="AQ679" i="119"/>
  <c r="AP679" i="119"/>
  <c r="A681" i="119"/>
  <c r="AQ680" i="119"/>
  <c r="AP680" i="119"/>
  <c r="AP681" i="119"/>
  <c r="A682" i="119"/>
  <c r="AQ681" i="119"/>
  <c r="A683" i="119"/>
  <c r="AP682" i="119"/>
  <c r="AQ682" i="119"/>
  <c r="AP683" i="119"/>
  <c r="AQ683" i="119"/>
  <c r="A684" i="119"/>
  <c r="AQ684" i="119"/>
  <c r="AP684" i="119"/>
  <c r="A685" i="119"/>
  <c r="A686" i="119"/>
  <c r="AP685" i="119"/>
  <c r="AQ685" i="119"/>
  <c r="A687" i="119"/>
  <c r="AQ686" i="119"/>
  <c r="AP686" i="119"/>
  <c r="A688" i="119"/>
  <c r="AP687" i="119"/>
  <c r="AQ687" i="119"/>
  <c r="A689" i="119"/>
  <c r="AP688" i="119"/>
  <c r="AQ688" i="119"/>
  <c r="AP689" i="119"/>
  <c r="A690" i="119"/>
  <c r="AQ689" i="119"/>
  <c r="A691" i="119"/>
  <c r="AQ690" i="119"/>
  <c r="AP690" i="119"/>
  <c r="AP691" i="119"/>
  <c r="AQ691" i="119"/>
  <c r="A692" i="119"/>
  <c r="AP692" i="119"/>
  <c r="AQ692" i="119"/>
  <c r="A693" i="119"/>
  <c r="A694" i="119"/>
  <c r="AP693" i="119"/>
  <c r="AQ693" i="119"/>
  <c r="A695" i="119"/>
  <c r="AQ694" i="119"/>
  <c r="AP694" i="119"/>
  <c r="A696" i="119"/>
  <c r="AP695" i="119"/>
  <c r="AQ695" i="119"/>
  <c r="A697" i="119"/>
  <c r="AP696" i="119"/>
  <c r="AQ696" i="119"/>
  <c r="AQ697" i="119"/>
  <c r="A698" i="119"/>
  <c r="AP697" i="119"/>
  <c r="A699" i="119"/>
  <c r="AQ698" i="119"/>
  <c r="AP698" i="119"/>
  <c r="AQ699" i="119"/>
  <c r="AP699" i="119"/>
  <c r="A700" i="119"/>
  <c r="AP700" i="119"/>
  <c r="AQ700" i="119"/>
  <c r="A701" i="119"/>
  <c r="A702" i="119"/>
  <c r="AQ701" i="119"/>
  <c r="AP701" i="119"/>
  <c r="A703" i="119"/>
  <c r="AP702" i="119"/>
  <c r="AQ702" i="119"/>
  <c r="A704" i="119"/>
  <c r="AQ703" i="119"/>
  <c r="AP703" i="119"/>
  <c r="A705" i="119"/>
  <c r="AP704" i="119"/>
  <c r="AQ704" i="119"/>
  <c r="AP705" i="119"/>
  <c r="A706" i="119"/>
  <c r="AQ705" i="119"/>
  <c r="A707" i="119"/>
  <c r="AQ706" i="119"/>
  <c r="AP706" i="119"/>
  <c r="AQ707" i="119"/>
  <c r="AP707" i="119"/>
  <c r="A708" i="119"/>
  <c r="AQ708" i="119"/>
  <c r="AP708" i="119"/>
  <c r="A709" i="119"/>
  <c r="A710" i="119"/>
  <c r="AQ709" i="119"/>
  <c r="AP709" i="119"/>
  <c r="A711" i="119"/>
  <c r="AQ710" i="119"/>
  <c r="AP710" i="119"/>
  <c r="A712" i="119"/>
  <c r="AQ711" i="119"/>
  <c r="AP711" i="119"/>
  <c r="A713" i="119"/>
  <c r="AQ712" i="119"/>
  <c r="AP712" i="119"/>
  <c r="AP713" i="119"/>
  <c r="A714" i="119"/>
  <c r="AQ713" i="119"/>
  <c r="A715" i="119"/>
  <c r="AP714" i="119"/>
  <c r="AQ714" i="119"/>
  <c r="AQ715" i="119"/>
  <c r="AP715" i="119"/>
  <c r="A716" i="119"/>
  <c r="AQ716" i="119"/>
  <c r="AP716" i="119"/>
  <c r="A717" i="119"/>
  <c r="A718" i="119"/>
  <c r="AQ717" i="119"/>
  <c r="AP717" i="119"/>
  <c r="A719" i="119"/>
  <c r="AP718" i="119"/>
  <c r="AQ718" i="119"/>
  <c r="A720" i="119"/>
  <c r="AP719" i="119"/>
  <c r="AQ719" i="119"/>
  <c r="A721" i="119"/>
  <c r="AQ720" i="119"/>
  <c r="AP720" i="119"/>
  <c r="AQ721" i="119"/>
  <c r="A722" i="119"/>
  <c r="AP721" i="119"/>
  <c r="A723" i="119"/>
  <c r="AP722" i="119"/>
  <c r="AQ722" i="119"/>
  <c r="AQ723" i="119"/>
  <c r="AP723" i="119"/>
  <c r="A724" i="119"/>
  <c r="AQ724" i="119"/>
  <c r="AP724" i="119"/>
  <c r="A725" i="119"/>
  <c r="A726" i="119"/>
  <c r="AP725" i="119"/>
  <c r="AQ725" i="119"/>
  <c r="A727" i="119"/>
  <c r="AQ726" i="119"/>
  <c r="AP726" i="119"/>
  <c r="A728" i="119"/>
  <c r="AQ727" i="119"/>
  <c r="AP727" i="119"/>
  <c r="A729" i="119"/>
  <c r="AP728" i="119"/>
  <c r="AQ728" i="119"/>
  <c r="AP729" i="119"/>
  <c r="A730" i="119"/>
  <c r="AQ729" i="119"/>
  <c r="A731" i="119"/>
  <c r="AP730" i="119"/>
  <c r="AQ730" i="119"/>
  <c r="AP731" i="119"/>
  <c r="AQ731" i="119"/>
  <c r="A732" i="119"/>
  <c r="AP732" i="119"/>
  <c r="AQ732" i="119"/>
  <c r="A733" i="119"/>
  <c r="A734" i="119"/>
  <c r="AQ733" i="119"/>
  <c r="AP733" i="119"/>
  <c r="A735" i="119"/>
  <c r="AP734" i="119"/>
  <c r="AQ734" i="119"/>
  <c r="A736" i="119"/>
  <c r="AP735" i="119"/>
  <c r="AQ735" i="119"/>
  <c r="A737" i="119"/>
  <c r="AP736" i="119"/>
  <c r="AQ736" i="119"/>
  <c r="AP737" i="119"/>
  <c r="A738" i="119"/>
  <c r="AQ737" i="119"/>
  <c r="A739" i="119"/>
  <c r="AP738" i="119"/>
  <c r="AQ738" i="119"/>
  <c r="AQ739" i="119"/>
  <c r="AP739" i="119"/>
  <c r="A740" i="119"/>
  <c r="AP740" i="119"/>
  <c r="AQ740" i="119"/>
  <c r="A741" i="119"/>
  <c r="A742" i="119"/>
  <c r="AP741" i="119"/>
  <c r="AQ741" i="119"/>
  <c r="A743" i="119"/>
  <c r="AP742" i="119"/>
  <c r="AQ742" i="119"/>
  <c r="A744" i="119"/>
  <c r="AP743" i="119"/>
  <c r="AQ743" i="119"/>
  <c r="A745" i="119"/>
  <c r="AQ744" i="119"/>
  <c r="AP744" i="119"/>
  <c r="AQ745" i="119"/>
  <c r="A746" i="119"/>
  <c r="AP745" i="119"/>
  <c r="A747" i="119"/>
  <c r="AP746" i="119"/>
  <c r="AQ746" i="119"/>
  <c r="AP747" i="119"/>
  <c r="AQ747" i="119"/>
  <c r="A748" i="119"/>
  <c r="AP748" i="119"/>
  <c r="AQ748" i="119"/>
  <c r="A749" i="119"/>
  <c r="A750" i="119"/>
  <c r="AP749" i="119"/>
  <c r="AQ749" i="119"/>
  <c r="A751" i="119"/>
  <c r="AP750" i="119"/>
  <c r="AQ750" i="119"/>
  <c r="A752" i="119"/>
  <c r="AP751" i="119"/>
  <c r="AQ751" i="119"/>
  <c r="A753" i="119"/>
  <c r="AP752" i="119"/>
  <c r="AQ752" i="119"/>
  <c r="AP753" i="119"/>
  <c r="A754" i="119"/>
  <c r="AQ753" i="119"/>
  <c r="A755" i="119"/>
  <c r="AQ754" i="119"/>
  <c r="AP754" i="119"/>
  <c r="AQ755" i="119"/>
  <c r="AP755" i="119"/>
  <c r="A756" i="119"/>
  <c r="AQ756" i="119"/>
  <c r="AP756" i="119"/>
  <c r="A757" i="119"/>
  <c r="A758" i="119"/>
  <c r="AQ757" i="119"/>
  <c r="AP757" i="119"/>
  <c r="A759" i="119"/>
  <c r="AQ758" i="119"/>
  <c r="AP758" i="119"/>
  <c r="A760" i="119"/>
  <c r="AQ759" i="119"/>
  <c r="AP759" i="119"/>
  <c r="A761" i="119"/>
  <c r="AP760" i="119"/>
  <c r="AQ760" i="119"/>
  <c r="AQ761" i="119"/>
  <c r="A762" i="119"/>
  <c r="AP761" i="119"/>
  <c r="A763" i="119"/>
  <c r="AP762" i="119"/>
  <c r="AQ762" i="119"/>
  <c r="AQ763" i="119"/>
  <c r="AP763" i="119"/>
  <c r="A764" i="119"/>
  <c r="AQ764" i="119"/>
  <c r="AP764" i="119"/>
  <c r="A765" i="119"/>
  <c r="A766" i="119"/>
  <c r="AP765" i="119"/>
  <c r="AQ765" i="119"/>
  <c r="A767" i="119"/>
  <c r="AQ766" i="119"/>
  <c r="AP766" i="119"/>
  <c r="A768" i="119"/>
  <c r="AQ767" i="119"/>
  <c r="AP767" i="119"/>
  <c r="A769" i="119"/>
  <c r="AP768" i="119"/>
  <c r="AQ768" i="119"/>
  <c r="AP769" i="119"/>
  <c r="A770" i="119"/>
  <c r="AQ769" i="119"/>
  <c r="A771" i="119"/>
  <c r="AP770" i="119"/>
  <c r="AQ770" i="119"/>
  <c r="AP771" i="119"/>
  <c r="AQ771" i="119"/>
  <c r="A772" i="119"/>
  <c r="AQ772" i="119"/>
  <c r="AP772" i="119"/>
  <c r="A773" i="119"/>
  <c r="A774" i="119"/>
  <c r="AQ773" i="119"/>
  <c r="AP773" i="119"/>
  <c r="A775" i="119"/>
  <c r="AP774" i="119"/>
  <c r="AQ774" i="119"/>
  <c r="A776" i="119"/>
  <c r="AQ775" i="119"/>
  <c r="AP775" i="119"/>
  <c r="A777" i="119"/>
  <c r="AQ776" i="119"/>
  <c r="AP776" i="119"/>
  <c r="AP777" i="119"/>
  <c r="A778" i="119"/>
  <c r="AQ777" i="119"/>
  <c r="A779" i="119"/>
  <c r="AQ778" i="119"/>
  <c r="AP778" i="119"/>
  <c r="AP779" i="119"/>
  <c r="AQ779" i="119"/>
  <c r="A780" i="119"/>
  <c r="AQ780" i="119"/>
  <c r="AP780" i="119"/>
  <c r="A781" i="119"/>
  <c r="A782" i="119"/>
  <c r="AQ781" i="119"/>
  <c r="AP781" i="119"/>
  <c r="A783" i="119"/>
  <c r="AQ782" i="119"/>
  <c r="AP782" i="119"/>
  <c r="A784" i="119"/>
  <c r="AQ783" i="119"/>
  <c r="AP783" i="119"/>
  <c r="A785" i="119"/>
  <c r="AQ784" i="119"/>
  <c r="AP784" i="119"/>
  <c r="AP785" i="119"/>
  <c r="A786" i="119"/>
  <c r="AQ785" i="119"/>
  <c r="A787" i="119"/>
  <c r="AQ786" i="119"/>
  <c r="AP786" i="119"/>
  <c r="AQ787" i="119"/>
  <c r="AP787" i="119"/>
  <c r="A788" i="119"/>
  <c r="AP788" i="119"/>
  <c r="AQ788" i="119"/>
  <c r="A789" i="119"/>
  <c r="A790" i="119"/>
  <c r="AP789" i="119"/>
  <c r="AQ789" i="119"/>
  <c r="A791" i="119"/>
  <c r="AP790" i="119"/>
  <c r="AQ790" i="119"/>
  <c r="A792" i="119"/>
  <c r="AQ791" i="119"/>
  <c r="AP791" i="119"/>
  <c r="A793" i="119"/>
  <c r="AP792" i="119"/>
  <c r="AQ792" i="119"/>
  <c r="AQ793" i="119"/>
  <c r="A794" i="119"/>
  <c r="AP793" i="119"/>
  <c r="A795" i="119"/>
  <c r="AP794" i="119"/>
  <c r="AQ794" i="119"/>
  <c r="AQ795" i="119"/>
  <c r="AP795" i="119"/>
  <c r="A796" i="119"/>
  <c r="AP796" i="119"/>
  <c r="AQ796" i="119"/>
  <c r="A797" i="119"/>
  <c r="A798" i="119"/>
  <c r="AQ797" i="119"/>
  <c r="AP797" i="119"/>
  <c r="A799" i="119"/>
  <c r="AQ798" i="119"/>
  <c r="AP798" i="119"/>
  <c r="A800" i="119"/>
  <c r="AQ799" i="119"/>
  <c r="AP799" i="119"/>
  <c r="AP800" i="119"/>
  <c r="AQ800" i="119"/>
  <c r="AQ3" i="119"/>
  <c r="AN3" i="119"/>
  <c r="AL3" i="119"/>
  <c r="AP3" i="119"/>
  <c r="AM3" i="119"/>
  <c r="AO3" i="119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<sst xmlns="http://schemas.openxmlformats.org/spreadsheetml/2006/main" count="297" uniqueCount="263">
  <si>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</si>
  <si>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</si>
  <si>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</si>
  <si>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</si>
  <si>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</si>
  <si>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</si>
  <si>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</si>
  <si>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</si>
  <si>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</si>
  <si>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</si>
  <si>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</si>
  <si>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</si>
  <si>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</si>
  <si>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</si>
  <si>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</si>
  <si>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</si>
  <si>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</si>
  <si>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</si>
  <si>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</si>
  <si>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</si>
  <si>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</si>
  <si>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</si>
  <si>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</si>
  <si>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</si>
  <si>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</si>
  <si>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</si>
  <si>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</si>
  <si>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</si>
  <si>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</si>
  <si>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</si>
  <si>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</si>
  <si>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</si>
  <si>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</si>
  <si>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</si>
  <si>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</si>
  <si>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</si>
  <si>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</si>
  <si>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</si>
  <si>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</si>
  <si>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</si>
  <si>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</si>
  <si>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</si>
  <si>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</si>
  <si>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</si>
  <si>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</si>
  <si>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</si>
  <si>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</si>
  <si>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</si>
  <si>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</si>
  <si>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</si>
  <si>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</si>
  <si>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</si>
  <si>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</si>
  <si>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</si>
  <si>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</si>
  <si>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</si>
  <si>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</si>
  <si>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</si>
  <si>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</si>
  <si>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</si>
  <si>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</si>
  <si>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</si>
  <si>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</si>
  <si>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</si>
  <si>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</si>
  <si>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</si>
  <si>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</si>
  <si>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</si>
  <si>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</si>
  <si>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</si>
  <si>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</si>
  <si>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</si>
  <si>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</si>
  <si>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</si>
  <si>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</si>
  <si>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</si>
  <si>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</si>
  <si>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</si>
  <si>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</si>
  <si>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</si>
  <si>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</si>
  <si>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</si>
  <si>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</si>
  <si>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</si>
  <si>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</si>
  <si>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</si>
  <si>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</si>
  <si>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</si>
  <si>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</si>
  <si>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</si>
  <si>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</si>
  <si>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</si>
  <si>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</si>
  <si>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</si>
  <si>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</si>
  <si>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</si>
  <si>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</si>
  <si>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</si>
  <si>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</si>
  <si>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</si>
  <si>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</si>
  <si>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</si>
  <si>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</si>
  <si>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</si>
  <si>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</si>
  <si>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</si>
  <si>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</si>
  <si>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</si>
  <si>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</si>
  <si>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</si>
  <si>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</si>
  <si>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</si>
  <si>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</si>
  <si>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</si>
  <si>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</si>
  <si>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</si>
  <si>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</si>
  <si>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</si>
  <si>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</si>
  <si>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</si>
  <si>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</si>
  <si>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</si>
  <si>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</si>
  <si>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</si>
  <si>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</si>
  <si>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</si>
  <si>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</si>
  <si>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</si>
  <si>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</si>
  <si>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</si>
  <si>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</si>
  <si>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</si>
  <si>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</si>
  <si>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</si>
  <si>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</si>
  <si>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</si>
  <si>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</si>
  <si>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</si>
  <si>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</si>
  <si>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</si>
  <si>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</si>
  <si>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</si>
  <si>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</si>
  <si>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</si>
  <si>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</si>
  <si>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</si>
  <si>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</si>
  <si>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</si>
  <si>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</si>
  <si>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</si>
  <si>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</si>
  <si>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</si>
  <si>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</si>
  <si>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</si>
  <si>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</si>
  <si>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</si>
  <si>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</si>
  <si>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</si>
  <si>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</si>
  <si>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</si>
  <si>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</si>
  <si>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</si>
  <si>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</si>
  <si>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</si>
  <si>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</si>
  <si>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</si>
  <si>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</si>
  <si>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</si>
  <si>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</si>
  <si>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</si>
  <si>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</si>
  <si>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</si>
  <si>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</si>
  <si>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</si>
  <si>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</si>
  <si>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</si>
  <si>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</si>
  <si>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</si>
  <si>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</si>
  <si>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</si>
  <si>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</si>
  <si>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</si>
  <si>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</si>
  <si>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</si>
  <si>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</si>
  <si>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</si>
  <si>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</si>
  <si>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</si>
  <si>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</si>
  <si>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</si>
  <si>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</si>
  <si>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</si>
  <si>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</si>
  <si>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</si>
  <si>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</si>
  <si>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</si>
  <si>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</si>
  <si>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</si>
  <si>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</si>
  <si>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</si>
  <si>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</si>
  <si>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</si>
  <si>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</si>
  <si>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</si>
  <si>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</si>
  <si>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</si>
  <si>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</si>
  <si>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</si>
  <si>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</si>
  <si>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</si>
  <si>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</si>
  <si>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</si>
  <si>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</si>
  <si>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</si>
  <si>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</si>
  <si>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</si>
  <si>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</si>
  <si>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</si>
  <si>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</si>
  <si>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</si>
  <si>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Panorama</t>
    <phoneticPr fontId="2"/>
  </si>
  <si>
    <t>当日Data</t>
    <rPh sb="0" eb="2">
      <t>トウジツ</t>
    </rPh>
    <phoneticPr fontId="2"/>
  </si>
  <si>
    <t>RPタイムライン</t>
  </si>
  <si>
    <t>DS</t>
  </si>
  <si>
    <t>STCO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</si>
  <si>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</si>
  <si>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</si>
  <si>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</si>
  <si>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❹A列にDSでアサイン、STCOでアサイン可能なDPを振り分ける</t>
  </si>
  <si>
    <t>・DSでアサインや、RP不可DP追加時 ➡【DS】に更新</t>
  </si>
  <si>
    <t>・STCOアサイン可のDP　　　　　　   ➡【使用可】に更新</t>
  </si>
  <si>
    <t>・DSでレスキュー済のDP　 ➡【DSレスキュー済】に更新</t>
    <rPh sb="9" eb="10">
      <t>スミ</t>
    </rPh>
    <rPh sb="24" eb="25">
      <t>スミ</t>
    </rPh>
    <phoneticPr fontId="2"/>
  </si>
  <si>
    <t>※持ち出し11件以上のDPは自動的に【DS】となりグレーアウト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</si>
  <si>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</si>
  <si>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</si>
  <si>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※持ち出し10件以下のDPは【未定】となる。アサイン未定の場合は、そのままでOK</t>
  </si>
  <si>
    <t>❺～～～～～　RP開始　～～～～～</t>
    <rPh sb="9" eb="11">
      <t>カイシ</t>
    </rPh>
    <phoneticPr fontId="2"/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</si>
  <si>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</si>
  <si>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</si>
  <si>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❼A列　未定、あるいはグレーアウトとなっているDPの中で</t>
  </si>
  <si>
    <t>❻DSが入力したステータスを基にRP対応を進める</t>
  </si>
  <si>
    <t>STCOでアサイン可能となったDP　➡　【使用可】に都度更新</t>
  </si>
  <si>
    <t>A列「DS」　 ➡　「Rescuer不可」処理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</si>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</sst>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2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7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78" fontId="0" fillId="0" borderId="0" xfId="0" applyNumberFormat="1">
      <alignment vertical="center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2" xfId="0" applyFont="1" applyBorder="1" applyAlignment="1">
      <alignment horizontal="center" vertical="center" wrapText="1"/>
    </xf>
    <xf numFmtId="0" fontId="60" fillId="0" borderId="41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30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26A505EA-365F-40E4-BEFB-A1E167416633}"/>
    <cellStyle name="標準 4" xfId="5" xr:uid="{5A5671CC-53C3-4C31-AF70-21A3923C7C72}"/>
  </cellStyles>
  <dxfs count="153"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/>
        <i/>
        <color theme="1"/>
      </font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BA627-BD44-49CE-85B0-19E1D95BD822}">
  <sheetPr codeName="Sheet1">
    <tabColor rgb="FFC6E0B4"/>
  </sheetPr>
  <dimension ref="A1:U23"/>
  <sheetViews>
    <sheetView zoomScale="85" zoomScaleNormal="85" workbookViewId="0" xr3:uid="{9D9D7091-E1CE-5D64-AC49-E7E9DDC10508}">
      <selection activeCell="I10" sqref="I10"/>
    </sheetView>
  </sheetViews>
  <sheetFormatPr defaultColWidth="8.62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1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6" customWidth="1"/>
    <col min="13" max="13" width="14.625" customWidth="1"/>
    <col min="14" max="14" width="6.125" style="26" customWidth="1"/>
    <col min="15" max="15" width="14.625" customWidth="1"/>
    <col min="17" max="17" width="17.625" customWidth="1"/>
    <col min="19" max="19" width="8.62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4"/>
      <c r="M1" s="2" t="s">
        <v>6</v>
      </c>
      <c r="N1" s="24"/>
      <c r="O1" s="2" t="s">
        <v>7</v>
      </c>
    </row>
    <row r="2" spans="1:21">
      <c r="A2" s="29" t="s">
        <v>8</v>
      </c>
      <c r="B2" s="1"/>
      <c r="C2" s="2"/>
      <c r="D2" s="15" t="s">
        <v>9</v>
      </c>
      <c r="E2" s="16" t="s">
        <v>10</v>
      </c>
      <c r="F2" s="15" t="s">
        <v>11</v>
      </c>
      <c r="G2" s="16" t="s">
        <v>10</v>
      </c>
      <c r="H2" s="3"/>
      <c r="I2" s="2"/>
      <c r="J2" s="4"/>
      <c r="K2" s="2"/>
      <c r="L2" s="24"/>
      <c r="M2" s="2"/>
      <c r="N2" s="24"/>
      <c r="O2" s="2"/>
      <c r="Q2" s="112" t="s">
        <v>12</v>
      </c>
    </row>
    <row r="3" spans="1:21" ht="18" customHeight="1" thickBot="1">
      <c r="A3" s="27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5" t="s">
        <v>23</v>
      </c>
      <c r="M3" t="s">
        <v>24</v>
      </c>
      <c r="N3" s="25" t="s">
        <v>25</v>
      </c>
      <c r="O3" t="s">
        <v>26</v>
      </c>
      <c r="Q3" s="113" t="s">
        <v>27</v>
      </c>
    </row>
    <row r="4" spans="1:21" ht="18" customHeight="1">
      <c r="B4" s="6" t="s">
        <v>28</v>
      </c>
      <c r="C4" s="20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5"/>
      <c r="M4" s="19"/>
      <c r="N4" s="25"/>
      <c r="O4" s="19"/>
      <c r="Q4" s="114" t="s">
        <v>38</v>
      </c>
      <c r="U4" s="17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5"/>
      <c r="M5" s="19"/>
      <c r="N5" s="25"/>
      <c r="O5" s="19"/>
      <c r="Q5" s="115" t="s">
        <v>47</v>
      </c>
      <c r="U5" s="18"/>
    </row>
    <row r="6" spans="1:21" ht="18" customHeight="1">
      <c r="B6" s="6" t="s">
        <v>48</v>
      </c>
      <c r="C6" s="23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5"/>
      <c r="M6" s="19"/>
      <c r="N6" s="25"/>
      <c r="O6" s="19"/>
      <c r="Q6" s="115" t="s">
        <v>56</v>
      </c>
      <c r="U6" s="17"/>
    </row>
    <row r="7" spans="1:21" ht="18" customHeight="1">
      <c r="B7" s="6" t="s">
        <v>57</v>
      </c>
      <c r="C7" s="101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5"/>
      <c r="M7" s="19"/>
      <c r="N7" s="25"/>
      <c r="O7" s="19"/>
      <c r="Q7" s="115" t="s">
        <v>65</v>
      </c>
      <c r="U7" s="18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5"/>
      <c r="M8" s="19"/>
      <c r="N8" s="25"/>
      <c r="O8" s="19"/>
      <c r="Q8" s="114" t="s">
        <v>74</v>
      </c>
      <c r="U8" s="17"/>
    </row>
    <row r="9" spans="1:21" ht="18" customHeight="1">
      <c r="B9" s="6" t="s">
        <v>75</v>
      </c>
      <c r="C9" s="20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5"/>
      <c r="M9" s="19"/>
      <c r="N9" s="25"/>
      <c r="O9" s="19"/>
      <c r="Q9" s="114" t="s">
        <v>82</v>
      </c>
      <c r="U9" s="18"/>
    </row>
    <row r="10" spans="1:21" ht="18" customHeight="1">
      <c r="B10" s="6" t="s">
        <v>83</v>
      </c>
      <c r="C10" s="21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5"/>
      <c r="M10" s="19"/>
      <c r="N10" s="25"/>
      <c r="O10" s="19"/>
      <c r="Q10" s="114" t="s">
        <v>89</v>
      </c>
      <c r="U10" s="17"/>
    </row>
    <row r="11" spans="1:21" ht="18" customHeight="1">
      <c r="B11" s="6" t="s">
        <v>90</v>
      </c>
      <c r="C11" s="101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5"/>
      <c r="M11" s="19"/>
      <c r="N11" s="25"/>
      <c r="O11" s="19"/>
      <c r="Q11" s="114" t="s">
        <v>96</v>
      </c>
      <c r="U11" s="18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5"/>
      <c r="M12" s="19"/>
      <c r="N12" s="25"/>
      <c r="O12" s="19"/>
      <c r="Q12" s="114" t="s">
        <v>101</v>
      </c>
      <c r="U12" s="17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5"/>
      <c r="M13" s="19"/>
      <c r="N13" s="25"/>
      <c r="O13" s="19"/>
      <c r="Q13" s="115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0" t="s">
        <v>115</v>
      </c>
      <c r="J14" s="7"/>
      <c r="K14" s="7"/>
      <c r="L14" s="25"/>
      <c r="M14" s="19"/>
      <c r="N14" s="25"/>
      <c r="O14" s="19"/>
      <c r="Q14" s="115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0" t="s">
        <v>115</v>
      </c>
      <c r="F15" s="6" t="s">
        <v>119</v>
      </c>
      <c r="G15" s="101" t="s">
        <v>115</v>
      </c>
      <c r="H15" s="6"/>
      <c r="I15" s="101"/>
      <c r="J15" s="7"/>
      <c r="K15" s="7"/>
      <c r="L15" s="25"/>
      <c r="M15" s="19"/>
      <c r="N15" s="25"/>
      <c r="O15" s="19"/>
      <c r="Q15" s="114" t="s">
        <v>120</v>
      </c>
    </row>
    <row r="16" spans="1:21" ht="18" customHeight="1">
      <c r="B16" s="6" t="s">
        <v>121</v>
      </c>
      <c r="C16" s="30" t="s">
        <v>115</v>
      </c>
      <c r="D16" s="6"/>
      <c r="E16" s="7"/>
      <c r="F16" s="6"/>
      <c r="G16" s="101"/>
      <c r="H16" s="6"/>
      <c r="I16" s="102"/>
      <c r="J16" s="7"/>
      <c r="K16" s="7"/>
      <c r="L16" s="25"/>
      <c r="M16" s="19"/>
      <c r="N16" s="25"/>
      <c r="O16" s="19"/>
      <c r="Q16" s="116" t="s">
        <v>122</v>
      </c>
    </row>
    <row r="17" spans="2:15" ht="18" customHeight="1">
      <c r="B17" s="6" t="s">
        <v>123</v>
      </c>
      <c r="C17" s="22" t="s">
        <v>82</v>
      </c>
      <c r="D17" s="6"/>
      <c r="E17" s="7"/>
      <c r="F17" s="6"/>
      <c r="G17" s="102"/>
      <c r="H17" s="6"/>
      <c r="I17" s="101"/>
      <c r="J17" s="7"/>
      <c r="K17" s="7"/>
      <c r="L17" s="25"/>
      <c r="M17" s="19"/>
      <c r="N17" s="25"/>
      <c r="O17" s="19"/>
    </row>
    <row r="18" spans="2:15" ht="18" customHeight="1">
      <c r="B18" s="6" t="s">
        <v>124</v>
      </c>
      <c r="C18" s="22" t="s">
        <v>89</v>
      </c>
      <c r="D18" s="6"/>
      <c r="E18" s="7"/>
      <c r="F18" s="6"/>
      <c r="G18" s="102"/>
      <c r="H18" s="6"/>
      <c r="I18" s="7"/>
      <c r="J18" s="7"/>
      <c r="K18" s="7"/>
      <c r="L18" s="25"/>
      <c r="M18" s="19"/>
      <c r="N18" s="25"/>
      <c r="O18" s="19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1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2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F30B0-5102-4B1B-B284-40340F2DC970}">
  <sheetPr codeName="Sheet2">
    <tabColor rgb="FF4472C4"/>
  </sheetPr>
  <dimension ref="A1:AY800"/>
  <sheetViews>
    <sheetView tabSelected="1" zoomScale="85" zoomScaleNormal="85" workbookViewId="0" xr3:uid="{BB51BD7B-0974-5379-985B-97B74146B58A}">
      <pane xSplit="14" ySplit="4" topLeftCell="O5" activePane="bottomRight" state="frozen"/>
      <selection pane="bottomRight" activeCell="A6" sqref="A6"/>
      <selection pane="bottomLeft" activeCell="E12" sqref="E12"/>
      <selection pane="topRight" activeCell="E12" sqref="E12"/>
    </sheetView>
  </sheetViews>
  <sheetFormatPr defaultColWidth="8.625" defaultRowHeight="16.350000000000001" customHeight="1"/>
  <cols>
    <col min="1" max="1" width="7.625" style="33" customWidth="1"/>
    <col min="2" max="2" width="8.125" style="33" customWidth="1"/>
    <col min="3" max="3" width="11.625" style="33" customWidth="1"/>
    <col min="4" max="4" width="20" style="33" customWidth="1"/>
    <col min="5" max="5" width="6.625" style="154" customWidth="1"/>
    <col min="6" max="6" width="4.625" style="33" customWidth="1"/>
    <col min="7" max="7" width="6.125" style="33" customWidth="1"/>
    <col min="8" max="8" width="5.625" style="33" customWidth="1"/>
    <col min="9" max="9" width="20.625" style="33" customWidth="1"/>
    <col min="10" max="10" width="16.125" style="167" customWidth="1"/>
    <col min="11" max="11" width="8.125" style="33" hidden="1" customWidth="1"/>
    <col min="12" max="12" width="20.625" style="33" customWidth="1"/>
    <col min="13" max="13" width="6.125" style="33" customWidth="1"/>
    <col min="14" max="14" width="6.125" style="155" customWidth="1"/>
    <col min="15" max="15" width="16.625" style="156" bestFit="1" customWidth="1"/>
    <col min="16" max="16" width="20.625" style="33" customWidth="1"/>
    <col min="17" max="17" width="6.125" style="33" customWidth="1"/>
    <col min="18" max="18" width="5.625" style="33" customWidth="1"/>
    <col min="19" max="19" width="19.625" style="155" customWidth="1"/>
    <col min="20" max="21" width="9.625" style="154" customWidth="1"/>
    <col min="22" max="22" width="25.625" style="33" customWidth="1"/>
    <col min="23" max="23" width="19.125" style="157" customWidth="1"/>
    <col min="24" max="24" width="16.125" style="33" customWidth="1"/>
    <col min="25" max="26" width="9.625" style="154" customWidth="1"/>
    <col min="27" max="27" width="21.125" style="33" customWidth="1"/>
    <col min="28" max="29" width="18.625" style="33" customWidth="1"/>
    <col min="30" max="30" width="8.125" style="33" customWidth="1"/>
    <col min="31" max="31" width="6.125" style="33" hidden="1" customWidth="1"/>
    <col min="32" max="32" width="7.625" style="158" customWidth="1"/>
    <col min="33" max="33" width="7.125" style="33" customWidth="1"/>
    <col min="34" max="34" width="5.5" style="33" customWidth="1"/>
    <col min="35" max="35" width="19.5" style="33" customWidth="1"/>
    <col min="36" max="36" width="13.125" style="155" customWidth="1"/>
    <col min="37" max="37" width="9.125" hidden="1" customWidth="1"/>
    <col min="38" max="43" width="8.625" hidden="1" customWidth="1"/>
    <col min="44" max="44" width="16.125" hidden="1" customWidth="1"/>
    <col min="45" max="47" width="13.125" style="33" customWidth="1"/>
    <col min="48" max="48" width="12.125" style="33" customWidth="1"/>
    <col min="49" max="49" width="13.625" style="33" customWidth="1"/>
    <col min="50" max="50" width="8.625" style="33"/>
    <col min="51" max="51" width="14.5" style="33" customWidth="1"/>
    <col min="52" max="16384" width="8.625" style="33"/>
  </cols>
  <sheetData>
    <row r="1" spans="1:51" ht="41.1" customHeight="1" thickBot="1">
      <c r="A1" s="132" t="s">
        <v>129</v>
      </c>
      <c r="B1" s="133" t="s">
        <v>130</v>
      </c>
      <c r="C1" s="132" t="s">
        <v>131</v>
      </c>
      <c r="D1" s="132" t="s">
        <v>132</v>
      </c>
      <c r="E1" s="188" t="s">
        <v>133</v>
      </c>
      <c r="F1" s="189"/>
      <c r="G1" s="189"/>
      <c r="H1" s="190" t="s">
        <v>134</v>
      </c>
      <c r="I1" s="190"/>
      <c r="J1" s="191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91"/>
      <c r="L1" s="191"/>
      <c r="M1" s="191"/>
      <c r="N1" s="192"/>
      <c r="O1" s="132" t="s">
        <v>130</v>
      </c>
      <c r="P1" s="195" t="str" cm="1">
        <f t="array" aca="1" ref="P1" ca="1">IFERROR(_xlfn.IFS(INDIRECT(AK4&amp;"!AG3")="×",INDIRECT(AK4&amp;"!AL1"),INDIRECT(AK4&amp;"!AG3")="〇",INDIRECT(AK4&amp;"!AK1")),"")</f>
        <v/>
      </c>
      <c r="Q1" s="196"/>
      <c r="R1" s="196"/>
      <c r="S1" s="196"/>
      <c r="T1" s="134" t="s">
        <v>135</v>
      </c>
      <c r="U1" s="135" t="s">
        <v>136</v>
      </c>
      <c r="V1" s="136" t="s">
        <v>137</v>
      </c>
      <c r="W1" s="199" t="s">
        <v>138</v>
      </c>
      <c r="X1" s="199"/>
      <c r="Y1" s="200"/>
      <c r="Z1" s="135" t="s">
        <v>139</v>
      </c>
      <c r="AA1" s="133" t="s">
        <v>140</v>
      </c>
      <c r="AB1" s="133" t="s">
        <v>141</v>
      </c>
      <c r="AC1" s="137"/>
      <c r="AD1" s="138"/>
      <c r="AE1" s="138"/>
      <c r="AF1" s="138"/>
      <c r="AG1" s="138"/>
      <c r="AH1" s="138"/>
      <c r="AI1" s="139" t="s">
        <v>142</v>
      </c>
      <c r="AJ1" s="201" t="s">
        <v>143</v>
      </c>
      <c r="AS1" s="178" t="s">
        <v>144</v>
      </c>
      <c r="AT1" s="179"/>
      <c r="AU1" s="179"/>
      <c r="AV1" s="179"/>
      <c r="AW1" s="180"/>
      <c r="AY1" s="28" t="s">
        <v>8</v>
      </c>
    </row>
    <row r="2" spans="1:51" ht="41.1" customHeight="1" thickBot="1">
      <c r="A2" s="175">
        <f>SUM(AA2+AB2)</f>
        <v>0</v>
      </c>
      <c r="B2" s="175">
        <f>O2</f>
        <v>0</v>
      </c>
      <c r="C2" s="175">
        <f>SUM(T2+U2+Z2)</f>
        <v>0</v>
      </c>
      <c r="D2" s="175">
        <f>V2</f>
        <v>0</v>
      </c>
      <c r="E2" s="181">
        <f>SUM(V2+AA2+AB2)</f>
        <v>0</v>
      </c>
      <c r="F2" s="181"/>
      <c r="G2" s="181"/>
      <c r="H2" s="181">
        <f>AI2</f>
        <v>0</v>
      </c>
      <c r="I2" s="181"/>
      <c r="J2" s="193"/>
      <c r="K2" s="193"/>
      <c r="L2" s="193"/>
      <c r="M2" s="193"/>
      <c r="N2" s="194"/>
      <c r="O2" s="175">
        <f>COUNTIFS(I5:I800,"&lt;&gt;",O5:O800,"")+COUNTIFS(I5:I800,"&lt;&gt;",O5:O800,"確認中")</f>
        <v>0</v>
      </c>
      <c r="P2" s="197"/>
      <c r="Q2" s="198"/>
      <c r="R2" s="198"/>
      <c r="S2" s="198"/>
      <c r="T2" s="175">
        <f>COUNTIFS(T5:T800,"",O5:O800,"RP")-COUNTIFS(O5:O800,"Rescuer変更完了",T5:T800,"")</f>
        <v>0</v>
      </c>
      <c r="U2" s="140">
        <f>COUNTIF(T5:T800,"&lt;&gt;")-COUNTIFS(T5:T800,"&lt;&gt;",V5:V800,"&lt;&gt;Chat中",V5:V800,"&lt;&gt;")-COUNTIFS(T5:T800,"&lt;&gt;",O5:O800,"DS完了",V5:V800,"")</f>
        <v>0</v>
      </c>
      <c r="V2" s="140">
        <f>COUNTIF(V5:V800,"電話不通x1")-COUNTIFS(O5:O800,"DS完了",AH5:AH800,"",V5:V800,"電話不通x1")-COUNTIFS(AH5:AH800,"&lt;&gt;",V5:V800,"電話不通x1")</f>
        <v>0</v>
      </c>
      <c r="W2" s="199"/>
      <c r="X2" s="199"/>
      <c r="Y2" s="200"/>
      <c r="Z2" s="140">
        <f>COUNTIF(Y5:Y800,"&lt;&gt;")-COUNTIFS(Y5:Y800,"&lt;&gt;",AA5:AA800,"&lt;&gt;Chat中",AA5:AA800,"&lt;&gt;")-COUNTIFS(Y5:Y800,"&lt;&gt;",O5:O800,"DS完了",AA5:AA800,"")</f>
        <v>0</v>
      </c>
      <c r="AA2" s="140">
        <f>COUNTIF(AA5:AA800,"電話不通 x1")-COUNTIFS(O5:O800,"DS完了",AH5:AH800,"",AA5:AA800,"電話不通 x1")-COUNTIFS(AH5:AH800,"&lt;&gt;",AA5:AA800,"電話不通 x1")</f>
        <v>0</v>
      </c>
      <c r="AB2" s="140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7"/>
      <c r="AD2" s="138"/>
      <c r="AE2" s="138"/>
      <c r="AF2" s="138"/>
      <c r="AG2" s="138"/>
      <c r="AH2" s="138"/>
      <c r="AI2" s="141">
        <f>COUNTIFS(O5:O800,"DS完了",AH5:AH800,"")+COUNTIFS(AF5:AF800,"&lt;&gt;",AH5:AH800,"")-COUNTIFS(O5:O800,"DS完了",D5:D800,"トラブル報告")</f>
        <v>0</v>
      </c>
      <c r="AJ2" s="201"/>
      <c r="AK2" s="168" t="s">
        <v>145</v>
      </c>
      <c r="AS2" s="142" t="s">
        <v>146</v>
      </c>
      <c r="AT2" s="143" t="s">
        <v>147</v>
      </c>
      <c r="AU2" s="144" t="s">
        <v>148</v>
      </c>
      <c r="AV2" s="145" t="s">
        <v>149</v>
      </c>
      <c r="AW2" s="146" t="s">
        <v>150</v>
      </c>
      <c r="AY2" s="76">
        <v>45438</v>
      </c>
    </row>
    <row r="3" spans="1:51" ht="24.6" customHeight="1">
      <c r="A3" s="182" t="s">
        <v>151</v>
      </c>
      <c r="B3" s="183"/>
      <c r="C3" s="183"/>
      <c r="D3" s="183"/>
      <c r="E3" s="183"/>
      <c r="F3" s="183"/>
      <c r="G3" s="183"/>
      <c r="H3" s="183"/>
      <c r="I3" s="183"/>
      <c r="J3" s="183"/>
      <c r="K3" s="183"/>
      <c r="L3" s="183"/>
      <c r="M3" s="183"/>
      <c r="N3" s="184"/>
      <c r="O3" s="147"/>
      <c r="P3" s="148"/>
      <c r="Q3" s="148"/>
      <c r="R3" s="148"/>
      <c r="S3" s="149"/>
      <c r="T3" s="185" t="s">
        <v>152</v>
      </c>
      <c r="U3" s="185"/>
      <c r="V3" s="185"/>
      <c r="W3" s="150"/>
      <c r="X3" s="186" t="s">
        <v>153</v>
      </c>
      <c r="Y3" s="185"/>
      <c r="Z3" s="185"/>
      <c r="AA3" s="185"/>
      <c r="AB3" s="185"/>
      <c r="AC3" s="185"/>
      <c r="AD3" s="185"/>
      <c r="AE3" s="185"/>
      <c r="AF3" s="187"/>
      <c r="AG3" s="151"/>
      <c r="AH3" s="151"/>
      <c r="AI3" s="152"/>
      <c r="AJ3" s="153"/>
      <c r="AK3" s="169" t="s">
        <v>154</v>
      </c>
      <c r="AL3" s="170" t="e">
        <f ca="1">"L"&amp;MATCH(TODAY(),A:A,0)&amp;":L1000"</f>
        <v>#N/A</v>
      </c>
      <c r="AM3" s="170" t="e">
        <f ca="1">"P"&amp;MATCH(TODAY(),A:A,0)&amp;":P1000"</f>
        <v>#N/A</v>
      </c>
      <c r="AN3" s="170" t="e">
        <f ca="1">"X"&amp;MATCH(TODAY(),A:A,0)&amp;":X1000"</f>
        <v>#N/A</v>
      </c>
      <c r="AO3" s="170" t="e">
        <f ca="1">"I"&amp;MATCH(TODAY(),A:A,0)&amp;":I1000"</f>
        <v>#N/A</v>
      </c>
      <c r="AP3" s="170" t="e">
        <f ca="1">"J"&amp;MATCH(TODAY(),A:A,0)&amp;":J1000"</f>
        <v>#N/A</v>
      </c>
      <c r="AQ3" s="170" t="e">
        <f ca="1">"C"&amp;MATCH(TODAY(),A:A,0)&amp;":C1000"</f>
        <v>#N/A</v>
      </c>
    </row>
    <row r="4" spans="1:51" ht="32.1" customHeight="1" thickBot="1">
      <c r="A4" s="55" t="s">
        <v>155</v>
      </c>
      <c r="B4" s="56" t="s">
        <v>156</v>
      </c>
      <c r="C4" s="57" t="s">
        <v>157</v>
      </c>
      <c r="D4" s="57" t="s">
        <v>158</v>
      </c>
      <c r="E4" s="58" t="s">
        <v>159</v>
      </c>
      <c r="F4" s="59" t="s">
        <v>160</v>
      </c>
      <c r="G4" s="59" t="s">
        <v>161</v>
      </c>
      <c r="H4" s="60" t="s">
        <v>162</v>
      </c>
      <c r="I4" s="61" t="s">
        <v>152</v>
      </c>
      <c r="J4" s="62" t="s">
        <v>163</v>
      </c>
      <c r="K4" s="62" t="s">
        <v>164</v>
      </c>
      <c r="L4" s="63" t="s">
        <v>165</v>
      </c>
      <c r="M4" s="62" t="s">
        <v>166</v>
      </c>
      <c r="N4" s="64" t="s">
        <v>167</v>
      </c>
      <c r="O4" s="12" t="s">
        <v>168</v>
      </c>
      <c r="P4" s="57" t="s">
        <v>169</v>
      </c>
      <c r="Q4" s="57" t="s">
        <v>170</v>
      </c>
      <c r="R4" s="12" t="s">
        <v>171</v>
      </c>
      <c r="S4" s="65" t="s">
        <v>172</v>
      </c>
      <c r="T4" s="66" t="s">
        <v>173</v>
      </c>
      <c r="U4" s="67" t="s">
        <v>174</v>
      </c>
      <c r="V4" s="12" t="s">
        <v>175</v>
      </c>
      <c r="W4" s="13" t="s">
        <v>176</v>
      </c>
      <c r="X4" s="14" t="s">
        <v>177</v>
      </c>
      <c r="Y4" s="66" t="s">
        <v>173</v>
      </c>
      <c r="Z4" s="67" t="s">
        <v>174</v>
      </c>
      <c r="AA4" s="62" t="s">
        <v>178</v>
      </c>
      <c r="AB4" s="14" t="s">
        <v>179</v>
      </c>
      <c r="AC4" s="68" t="s">
        <v>172</v>
      </c>
      <c r="AD4" s="14" t="s">
        <v>180</v>
      </c>
      <c r="AE4" s="57" t="s">
        <v>164</v>
      </c>
      <c r="AF4" s="69" t="s">
        <v>181</v>
      </c>
      <c r="AG4" s="70" t="s">
        <v>182</v>
      </c>
      <c r="AH4" s="62" t="s">
        <v>183</v>
      </c>
      <c r="AI4" s="62" t="s">
        <v>172</v>
      </c>
      <c r="AJ4" s="64" t="s">
        <v>184</v>
      </c>
      <c r="AK4" s="168" t="s">
        <v>185</v>
      </c>
      <c r="AL4" s="19"/>
      <c r="AM4" s="171"/>
      <c r="AN4" s="171"/>
      <c r="AO4" s="19"/>
      <c r="AP4" s="171"/>
    </row>
    <row r="5" spans="1:51" ht="20.100000000000001" customHeight="1" thickTop="1">
      <c r="A5" s="11">
        <v>45797</v>
      </c>
      <c r="C5" s="39"/>
      <c r="L5" s="39"/>
      <c r="Z5" s="154" t="str">
        <f>IF(Y5="","",$Y5+TIME(0,5,0))</f>
        <v/>
      </c>
      <c r="AE5" s="172">
        <f t="shared" ref="AE5:AE68" si="0">TIME(0,$K5+5,0)</f>
        <v>3.472222222222222E-3</v>
      </c>
      <c r="AG5" s="154" t="str">
        <f>IF(AF5="","",IF(D5="トラブル報告",AF5+TIME(0,45,0),SUM(AE5,AF5)))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7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3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45797</v>
      </c>
      <c r="C6" s="39"/>
      <c r="L6" s="39"/>
      <c r="Z6" s="154" t="str">
        <f t="shared" ref="Z6:Z69" si="2">IF(Y6="","",$Y6+TIME(0,5,0))</f>
        <v/>
      </c>
      <c r="AE6" s="172">
        <f t="shared" si="0"/>
        <v>3.472222222222222E-3</v>
      </c>
      <c r="AG6" s="154" t="str">
        <f t="shared" ref="AG6:AG69" si="3">IF(AF6="","",IF(D6="トラブル報告",AF6+TIME(0,45,0),SUM(AE6,AF6)))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7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3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45797</v>
      </c>
      <c r="C7" s="39"/>
      <c r="L7" s="39"/>
      <c r="Z7" s="154" t="str">
        <f t="shared" si="2"/>
        <v/>
      </c>
      <c r="AE7" s="172">
        <f t="shared" si="0"/>
        <v>3.472222222222222E-3</v>
      </c>
      <c r="AG7" s="154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7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3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45797</v>
      </c>
      <c r="C8" s="39"/>
      <c r="L8" s="39"/>
      <c r="Z8" s="154" t="str">
        <f t="shared" si="2"/>
        <v/>
      </c>
      <c r="AE8" s="172">
        <f t="shared" si="0"/>
        <v>3.472222222222222E-3</v>
      </c>
      <c r="AG8" s="154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7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3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45797</v>
      </c>
      <c r="C9" s="39"/>
      <c r="L9" s="39"/>
      <c r="Z9" s="154" t="str">
        <f t="shared" si="2"/>
        <v/>
      </c>
      <c r="AE9" s="172">
        <f t="shared" si="0"/>
        <v>3.472222222222222E-3</v>
      </c>
      <c r="AG9" s="154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7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3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45797</v>
      </c>
      <c r="C10" s="39"/>
      <c r="L10" s="39"/>
      <c r="Z10" s="154" t="str">
        <f t="shared" si="2"/>
        <v/>
      </c>
      <c r="AE10" s="172">
        <f t="shared" si="0"/>
        <v>3.472222222222222E-3</v>
      </c>
      <c r="AG10" s="154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7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3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45797</v>
      </c>
      <c r="C11" s="39"/>
      <c r="L11" s="39"/>
      <c r="Z11" s="154" t="str">
        <f t="shared" si="2"/>
        <v/>
      </c>
      <c r="AE11" s="172">
        <f t="shared" si="0"/>
        <v>3.472222222222222E-3</v>
      </c>
      <c r="AG11" s="154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7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3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45797</v>
      </c>
      <c r="C12" s="39"/>
      <c r="L12" s="39"/>
      <c r="Z12" s="154" t="str">
        <f t="shared" si="2"/>
        <v/>
      </c>
      <c r="AE12" s="172">
        <f t="shared" si="0"/>
        <v>3.472222222222222E-3</v>
      </c>
      <c r="AG12" s="154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7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3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45797</v>
      </c>
      <c r="C13" s="39"/>
      <c r="L13" s="39"/>
      <c r="Z13" s="154" t="str">
        <f t="shared" si="2"/>
        <v/>
      </c>
      <c r="AE13" s="172">
        <f t="shared" si="0"/>
        <v>3.472222222222222E-3</v>
      </c>
      <c r="AG13" s="154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7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3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45797</v>
      </c>
      <c r="C14" s="39"/>
      <c r="L14" s="39"/>
      <c r="Z14" s="154" t="str">
        <f t="shared" si="2"/>
        <v/>
      </c>
      <c r="AE14" s="172">
        <f t="shared" si="0"/>
        <v>3.472222222222222E-3</v>
      </c>
      <c r="AG14" s="154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7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3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45797</v>
      </c>
      <c r="C15" s="39"/>
      <c r="L15" s="39"/>
      <c r="Z15" s="154" t="str">
        <f t="shared" si="2"/>
        <v/>
      </c>
      <c r="AE15" s="172">
        <f t="shared" si="0"/>
        <v>3.472222222222222E-3</v>
      </c>
      <c r="AG15" s="154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7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3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45797</v>
      </c>
      <c r="C16" s="39"/>
      <c r="L16" s="39"/>
      <c r="Z16" s="154" t="str">
        <f t="shared" si="2"/>
        <v/>
      </c>
      <c r="AE16" s="172">
        <f t="shared" si="0"/>
        <v>3.472222222222222E-3</v>
      </c>
      <c r="AG16" s="154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7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3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45797</v>
      </c>
      <c r="C17" s="39"/>
      <c r="Z17" s="154" t="str">
        <f t="shared" si="2"/>
        <v/>
      </c>
      <c r="AE17" s="172">
        <f t="shared" si="0"/>
        <v>3.472222222222222E-3</v>
      </c>
      <c r="AG17" s="154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7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3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45797</v>
      </c>
      <c r="C18" s="39"/>
      <c r="Z18" s="154" t="str">
        <f t="shared" si="2"/>
        <v/>
      </c>
      <c r="AE18" s="172">
        <f t="shared" si="0"/>
        <v>3.472222222222222E-3</v>
      </c>
      <c r="AG18" s="154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7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3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45797</v>
      </c>
      <c r="C19" s="39"/>
      <c r="Z19" s="154" t="str">
        <f t="shared" si="2"/>
        <v/>
      </c>
      <c r="AE19" s="172">
        <f t="shared" si="0"/>
        <v>3.472222222222222E-3</v>
      </c>
      <c r="AG19" s="154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7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3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45797</v>
      </c>
      <c r="C20" s="39"/>
      <c r="Z20" s="154" t="str">
        <f t="shared" si="2"/>
        <v/>
      </c>
      <c r="AE20" s="172">
        <f t="shared" si="0"/>
        <v>3.472222222222222E-3</v>
      </c>
      <c r="AG20" s="154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7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3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45797</v>
      </c>
      <c r="C21" s="39"/>
      <c r="Z21" s="154" t="str">
        <f t="shared" si="2"/>
        <v/>
      </c>
      <c r="AE21" s="172">
        <f t="shared" si="0"/>
        <v>3.472222222222222E-3</v>
      </c>
      <c r="AG21" s="154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7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3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45797</v>
      </c>
      <c r="C22" s="39"/>
      <c r="Z22" s="154" t="str">
        <f t="shared" si="2"/>
        <v/>
      </c>
      <c r="AE22" s="172">
        <f t="shared" si="0"/>
        <v>3.472222222222222E-3</v>
      </c>
      <c r="AG22" s="154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7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3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45797</v>
      </c>
      <c r="C23" s="39"/>
      <c r="Z23" s="154" t="str">
        <f t="shared" si="2"/>
        <v/>
      </c>
      <c r="AE23" s="172">
        <f t="shared" si="0"/>
        <v>3.472222222222222E-3</v>
      </c>
      <c r="AG23" s="154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7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3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45797</v>
      </c>
      <c r="C24" s="39"/>
      <c r="Z24" s="154" t="str">
        <f t="shared" si="2"/>
        <v/>
      </c>
      <c r="AE24" s="172">
        <f t="shared" si="0"/>
        <v>3.472222222222222E-3</v>
      </c>
      <c r="AG24" s="154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7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3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45797</v>
      </c>
      <c r="C25" s="39"/>
      <c r="Z25" s="154" t="str">
        <f t="shared" si="2"/>
        <v/>
      </c>
      <c r="AE25" s="172">
        <f t="shared" si="0"/>
        <v>3.472222222222222E-3</v>
      </c>
      <c r="AG25" s="154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7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3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45797</v>
      </c>
      <c r="C26" s="39"/>
      <c r="Z26" s="154" t="str">
        <f t="shared" si="2"/>
        <v/>
      </c>
      <c r="AE26" s="172">
        <f t="shared" si="0"/>
        <v>3.472222222222222E-3</v>
      </c>
      <c r="AG26" s="154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7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3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45797</v>
      </c>
      <c r="C27" s="39"/>
      <c r="Z27" s="154" t="str">
        <f t="shared" si="2"/>
        <v/>
      </c>
      <c r="AE27" s="172">
        <f t="shared" si="0"/>
        <v>3.472222222222222E-3</v>
      </c>
      <c r="AG27" s="154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7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3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45797</v>
      </c>
      <c r="C28" s="39"/>
      <c r="Z28" s="154" t="str">
        <f t="shared" si="2"/>
        <v/>
      </c>
      <c r="AE28" s="172">
        <f t="shared" si="0"/>
        <v>3.472222222222222E-3</v>
      </c>
      <c r="AG28" s="154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7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3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45797</v>
      </c>
      <c r="C29" s="39"/>
      <c r="Z29" s="154" t="str">
        <f t="shared" si="2"/>
        <v/>
      </c>
      <c r="AE29" s="172">
        <f t="shared" si="0"/>
        <v>3.472222222222222E-3</v>
      </c>
      <c r="AG29" s="154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7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3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45797</v>
      </c>
      <c r="C30" s="39"/>
      <c r="Z30" s="154" t="str">
        <f t="shared" si="2"/>
        <v/>
      </c>
      <c r="AE30" s="172">
        <f t="shared" si="0"/>
        <v>3.472222222222222E-3</v>
      </c>
      <c r="AG30" s="154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7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3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45797</v>
      </c>
      <c r="C31" s="39"/>
      <c r="Z31" s="154" t="str">
        <f t="shared" si="2"/>
        <v/>
      </c>
      <c r="AE31" s="172">
        <f t="shared" si="0"/>
        <v>3.472222222222222E-3</v>
      </c>
      <c r="AG31" s="154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7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3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45797</v>
      </c>
      <c r="C32" s="39"/>
      <c r="Z32" s="154" t="str">
        <f t="shared" si="2"/>
        <v/>
      </c>
      <c r="AE32" s="172">
        <f t="shared" si="0"/>
        <v>3.472222222222222E-3</v>
      </c>
      <c r="AG32" s="154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7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3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45797</v>
      </c>
      <c r="C33" s="39"/>
      <c r="Z33" s="154" t="str">
        <f t="shared" si="2"/>
        <v/>
      </c>
      <c r="AE33" s="172">
        <f t="shared" si="0"/>
        <v>3.472222222222222E-3</v>
      </c>
      <c r="AG33" s="154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7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3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45797</v>
      </c>
      <c r="C34" s="39"/>
      <c r="Z34" s="154" t="str">
        <f t="shared" si="2"/>
        <v/>
      </c>
      <c r="AE34" s="172">
        <f t="shared" si="0"/>
        <v>3.472222222222222E-3</v>
      </c>
      <c r="AG34" s="154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7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3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45797</v>
      </c>
      <c r="C35" s="39"/>
      <c r="Z35" s="154" t="str">
        <f t="shared" si="2"/>
        <v/>
      </c>
      <c r="AE35" s="172">
        <f t="shared" si="0"/>
        <v>3.472222222222222E-3</v>
      </c>
      <c r="AG35" s="154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7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3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45797</v>
      </c>
      <c r="C36" s="39"/>
      <c r="Z36" s="154" t="str">
        <f t="shared" si="2"/>
        <v/>
      </c>
      <c r="AE36" s="172">
        <f t="shared" si="0"/>
        <v>3.472222222222222E-3</v>
      </c>
      <c r="AG36" s="154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7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3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45797</v>
      </c>
      <c r="C37" s="39"/>
      <c r="Z37" s="154" t="str">
        <f t="shared" si="2"/>
        <v/>
      </c>
      <c r="AE37" s="172">
        <f t="shared" si="0"/>
        <v>3.472222222222222E-3</v>
      </c>
      <c r="AG37" s="154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7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3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45797</v>
      </c>
      <c r="C38" s="39"/>
      <c r="Z38" s="154" t="str">
        <f t="shared" si="2"/>
        <v/>
      </c>
      <c r="AE38" s="172">
        <f t="shared" si="0"/>
        <v>3.472222222222222E-3</v>
      </c>
      <c r="AG38" s="154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7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3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45797</v>
      </c>
      <c r="C39" s="39"/>
      <c r="Z39" s="154" t="str">
        <f t="shared" si="2"/>
        <v/>
      </c>
      <c r="AE39" s="172">
        <f t="shared" si="0"/>
        <v>3.472222222222222E-3</v>
      </c>
      <c r="AG39" s="154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7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3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45797</v>
      </c>
      <c r="C40" s="39"/>
      <c r="Z40" s="154" t="str">
        <f t="shared" si="2"/>
        <v/>
      </c>
      <c r="AE40" s="172">
        <f t="shared" si="0"/>
        <v>3.472222222222222E-3</v>
      </c>
      <c r="AG40" s="154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7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3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45797</v>
      </c>
      <c r="C41" s="39"/>
      <c r="Z41" s="154" t="str">
        <f t="shared" si="2"/>
        <v/>
      </c>
      <c r="AE41" s="172">
        <f t="shared" si="0"/>
        <v>3.472222222222222E-3</v>
      </c>
      <c r="AG41" s="154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7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3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45797</v>
      </c>
      <c r="C42" s="39"/>
      <c r="Z42" s="154" t="str">
        <f t="shared" si="2"/>
        <v/>
      </c>
      <c r="AE42" s="172">
        <f t="shared" si="0"/>
        <v>3.472222222222222E-3</v>
      </c>
      <c r="AG42" s="154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7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3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45797</v>
      </c>
      <c r="C43" s="39"/>
      <c r="Z43" s="154" t="str">
        <f t="shared" si="2"/>
        <v/>
      </c>
      <c r="AE43" s="172">
        <f t="shared" si="0"/>
        <v>3.472222222222222E-3</v>
      </c>
      <c r="AG43" s="154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7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3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45797</v>
      </c>
      <c r="C44" s="39"/>
      <c r="Z44" s="154" t="str">
        <f t="shared" si="2"/>
        <v/>
      </c>
      <c r="AE44" s="172">
        <f t="shared" si="0"/>
        <v>3.472222222222222E-3</v>
      </c>
      <c r="AG44" s="154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7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3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45797</v>
      </c>
      <c r="C45" s="39"/>
      <c r="Z45" s="154" t="str">
        <f t="shared" si="2"/>
        <v/>
      </c>
      <c r="AE45" s="172">
        <f t="shared" si="0"/>
        <v>3.472222222222222E-3</v>
      </c>
      <c r="AG45" s="154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7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3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45797</v>
      </c>
      <c r="C46" s="39"/>
      <c r="Z46" s="154" t="str">
        <f t="shared" si="2"/>
        <v/>
      </c>
      <c r="AE46" s="172">
        <f t="shared" si="0"/>
        <v>3.472222222222222E-3</v>
      </c>
      <c r="AG46" s="154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7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3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45797</v>
      </c>
      <c r="C47" s="39"/>
      <c r="Z47" s="154" t="str">
        <f t="shared" si="2"/>
        <v/>
      </c>
      <c r="AE47" s="172">
        <f t="shared" si="0"/>
        <v>3.472222222222222E-3</v>
      </c>
      <c r="AG47" s="154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7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3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45797</v>
      </c>
      <c r="C48" s="39"/>
      <c r="Z48" s="154" t="str">
        <f t="shared" si="2"/>
        <v/>
      </c>
      <c r="AE48" s="172">
        <f t="shared" si="0"/>
        <v>3.472222222222222E-3</v>
      </c>
      <c r="AG48" s="154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7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3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45797</v>
      </c>
      <c r="C49" s="39"/>
      <c r="Z49" s="154" t="str">
        <f t="shared" si="2"/>
        <v/>
      </c>
      <c r="AE49" s="172">
        <f t="shared" si="0"/>
        <v>3.472222222222222E-3</v>
      </c>
      <c r="AG49" s="154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7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3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45797</v>
      </c>
      <c r="C50" s="39"/>
      <c r="Z50" s="154" t="str">
        <f t="shared" si="2"/>
        <v/>
      </c>
      <c r="AE50" s="172">
        <f t="shared" si="0"/>
        <v>3.472222222222222E-3</v>
      </c>
      <c r="AG50" s="154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7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3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45797</v>
      </c>
      <c r="C51" s="39"/>
      <c r="Z51" s="154" t="str">
        <f t="shared" si="2"/>
        <v/>
      </c>
      <c r="AE51" s="172">
        <f t="shared" si="0"/>
        <v>3.472222222222222E-3</v>
      </c>
      <c r="AG51" s="154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7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3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45797</v>
      </c>
      <c r="C52" s="39"/>
      <c r="Z52" s="154" t="str">
        <f t="shared" si="2"/>
        <v/>
      </c>
      <c r="AE52" s="172">
        <f t="shared" si="0"/>
        <v>3.472222222222222E-3</v>
      </c>
      <c r="AG52" s="154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7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3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45797</v>
      </c>
      <c r="C53" s="39"/>
      <c r="Z53" s="154" t="str">
        <f t="shared" si="2"/>
        <v/>
      </c>
      <c r="AE53" s="172">
        <f t="shared" si="0"/>
        <v>3.472222222222222E-3</v>
      </c>
      <c r="AG53" s="154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7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3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45797</v>
      </c>
      <c r="C54" s="39"/>
      <c r="Z54" s="154" t="str">
        <f t="shared" si="2"/>
        <v/>
      </c>
      <c r="AE54" s="172">
        <f t="shared" si="0"/>
        <v>3.472222222222222E-3</v>
      </c>
      <c r="AG54" s="154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7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3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45797</v>
      </c>
      <c r="C55" s="39"/>
      <c r="Z55" s="154" t="str">
        <f t="shared" si="2"/>
        <v/>
      </c>
      <c r="AE55" s="172">
        <f t="shared" si="0"/>
        <v>3.472222222222222E-3</v>
      </c>
      <c r="AG55" s="154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7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3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45797</v>
      </c>
      <c r="C56" s="39"/>
      <c r="Z56" s="154" t="str">
        <f t="shared" si="2"/>
        <v/>
      </c>
      <c r="AE56" s="172">
        <f t="shared" si="0"/>
        <v>3.472222222222222E-3</v>
      </c>
      <c r="AG56" s="154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7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3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45797</v>
      </c>
      <c r="C57" s="39"/>
      <c r="Z57" s="154" t="str">
        <f t="shared" si="2"/>
        <v/>
      </c>
      <c r="AE57" s="172">
        <f t="shared" si="0"/>
        <v>3.472222222222222E-3</v>
      </c>
      <c r="AG57" s="154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7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3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45797</v>
      </c>
      <c r="C58" s="39"/>
      <c r="Z58" s="154" t="str">
        <f t="shared" si="2"/>
        <v/>
      </c>
      <c r="AE58" s="172">
        <f t="shared" si="0"/>
        <v>3.472222222222222E-3</v>
      </c>
      <c r="AG58" s="154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7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3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45797</v>
      </c>
      <c r="C59" s="39"/>
      <c r="Z59" s="154" t="str">
        <f t="shared" si="2"/>
        <v/>
      </c>
      <c r="AE59" s="172">
        <f t="shared" si="0"/>
        <v>3.472222222222222E-3</v>
      </c>
      <c r="AG59" s="154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7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3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45797</v>
      </c>
      <c r="C60" s="39"/>
      <c r="Z60" s="154" t="str">
        <f t="shared" si="2"/>
        <v/>
      </c>
      <c r="AE60" s="172">
        <f t="shared" si="0"/>
        <v>3.472222222222222E-3</v>
      </c>
      <c r="AG60" s="154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7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3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45797</v>
      </c>
      <c r="C61" s="39"/>
      <c r="Z61" s="154" t="str">
        <f t="shared" si="2"/>
        <v/>
      </c>
      <c r="AE61" s="172">
        <f t="shared" si="0"/>
        <v>3.472222222222222E-3</v>
      </c>
      <c r="AG61" s="154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7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3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45797</v>
      </c>
      <c r="C62" s="39"/>
      <c r="Z62" s="154" t="str">
        <f t="shared" si="2"/>
        <v/>
      </c>
      <c r="AE62" s="172">
        <f t="shared" si="0"/>
        <v>3.472222222222222E-3</v>
      </c>
      <c r="AG62" s="154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7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3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45797</v>
      </c>
      <c r="C63" s="39"/>
      <c r="Z63" s="154" t="str">
        <f t="shared" si="2"/>
        <v/>
      </c>
      <c r="AE63" s="172">
        <f t="shared" si="0"/>
        <v>3.472222222222222E-3</v>
      </c>
      <c r="AG63" s="154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7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3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45797</v>
      </c>
      <c r="C64" s="39"/>
      <c r="Z64" s="154" t="str">
        <f t="shared" si="2"/>
        <v/>
      </c>
      <c r="AE64" s="172">
        <f t="shared" si="0"/>
        <v>3.472222222222222E-3</v>
      </c>
      <c r="AG64" s="154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7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3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45797</v>
      </c>
      <c r="C65" s="39"/>
      <c r="Z65" s="154" t="str">
        <f t="shared" si="2"/>
        <v/>
      </c>
      <c r="AE65" s="172">
        <f t="shared" si="0"/>
        <v>3.472222222222222E-3</v>
      </c>
      <c r="AG65" s="154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7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3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45797</v>
      </c>
      <c r="C66" s="39"/>
      <c r="Z66" s="154" t="str">
        <f t="shared" si="2"/>
        <v/>
      </c>
      <c r="AE66" s="172">
        <f t="shared" si="0"/>
        <v>3.472222222222222E-3</v>
      </c>
      <c r="AG66" s="154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7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3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45797</v>
      </c>
      <c r="C67" s="39"/>
      <c r="Z67" s="154" t="str">
        <f t="shared" si="2"/>
        <v/>
      </c>
      <c r="AE67" s="172">
        <f t="shared" si="0"/>
        <v>3.472222222222222E-3</v>
      </c>
      <c r="AG67" s="154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7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3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45797</v>
      </c>
      <c r="C68" s="39"/>
      <c r="Z68" s="154" t="str">
        <f t="shared" si="2"/>
        <v/>
      </c>
      <c r="AE68" s="172">
        <f t="shared" si="0"/>
        <v>3.472222222222222E-3</v>
      </c>
      <c r="AG68" s="154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7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3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45797</v>
      </c>
      <c r="C69" s="39"/>
      <c r="Z69" s="154" t="str">
        <f t="shared" si="2"/>
        <v/>
      </c>
      <c r="AE69" s="172">
        <f t="shared" ref="AE69:AE132" si="11">TIME(0,$K69+5,0)</f>
        <v>3.472222222222222E-3</v>
      </c>
      <c r="AG69" s="154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7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3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45797</v>
      </c>
      <c r="C70" s="39"/>
      <c r="Z70" s="154" t="str">
        <f t="shared" ref="Z70:Z133" si="13">IF(Y70="","",$Y70+TIME(0,5,0))</f>
        <v/>
      </c>
      <c r="AE70" s="172">
        <f t="shared" si="11"/>
        <v>3.472222222222222E-3</v>
      </c>
      <c r="AG70" s="154" t="str">
        <f t="shared" ref="AG70:AG133" si="14">IF(AF70="","",IF(D70="トラブル報告",AF70+TIME(0,45,0),SUM(AE70,AF70)))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7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3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45797</v>
      </c>
      <c r="C71" s="39"/>
      <c r="Z71" s="154" t="str">
        <f t="shared" si="13"/>
        <v/>
      </c>
      <c r="AE71" s="172">
        <f t="shared" si="11"/>
        <v>3.472222222222222E-3</v>
      </c>
      <c r="AG71" s="154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7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3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45797</v>
      </c>
      <c r="C72" s="39"/>
      <c r="Z72" s="154" t="str">
        <f t="shared" si="13"/>
        <v/>
      </c>
      <c r="AE72" s="172">
        <f t="shared" si="11"/>
        <v>3.472222222222222E-3</v>
      </c>
      <c r="AG72" s="154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7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3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45797</v>
      </c>
      <c r="C73" s="39"/>
      <c r="Z73" s="154" t="str">
        <f t="shared" si="13"/>
        <v/>
      </c>
      <c r="AE73" s="172">
        <f t="shared" si="11"/>
        <v>3.472222222222222E-3</v>
      </c>
      <c r="AG73" s="154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7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3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45797</v>
      </c>
      <c r="C74" s="39"/>
      <c r="Z74" s="154" t="str">
        <f t="shared" si="13"/>
        <v/>
      </c>
      <c r="AE74" s="172">
        <f t="shared" si="11"/>
        <v>3.472222222222222E-3</v>
      </c>
      <c r="AG74" s="154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7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3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45797</v>
      </c>
      <c r="C75" s="39"/>
      <c r="Z75" s="154" t="str">
        <f t="shared" si="13"/>
        <v/>
      </c>
      <c r="AE75" s="172">
        <f t="shared" si="11"/>
        <v>3.472222222222222E-3</v>
      </c>
      <c r="AG75" s="154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7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3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45797</v>
      </c>
      <c r="C76" s="39"/>
      <c r="Z76" s="154" t="str">
        <f t="shared" si="13"/>
        <v/>
      </c>
      <c r="AE76" s="172">
        <f t="shared" si="11"/>
        <v>3.472222222222222E-3</v>
      </c>
      <c r="AG76" s="154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7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3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45797</v>
      </c>
      <c r="C77" s="39"/>
      <c r="Z77" s="154" t="str">
        <f t="shared" si="13"/>
        <v/>
      </c>
      <c r="AE77" s="172">
        <f t="shared" si="11"/>
        <v>3.472222222222222E-3</v>
      </c>
      <c r="AG77" s="154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7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3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45797</v>
      </c>
      <c r="C78" s="39"/>
      <c r="Z78" s="154" t="str">
        <f t="shared" si="13"/>
        <v/>
      </c>
      <c r="AE78" s="172">
        <f t="shared" si="11"/>
        <v>3.472222222222222E-3</v>
      </c>
      <c r="AG78" s="154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7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3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45797</v>
      </c>
      <c r="C79" s="39"/>
      <c r="Z79" s="154" t="str">
        <f t="shared" si="13"/>
        <v/>
      </c>
      <c r="AE79" s="172">
        <f t="shared" si="11"/>
        <v>3.472222222222222E-3</v>
      </c>
      <c r="AG79" s="154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7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3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45797</v>
      </c>
      <c r="C80" s="39"/>
      <c r="Z80" s="154" t="str">
        <f t="shared" si="13"/>
        <v/>
      </c>
      <c r="AE80" s="172">
        <f t="shared" si="11"/>
        <v>3.472222222222222E-3</v>
      </c>
      <c r="AG80" s="154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7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3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45797</v>
      </c>
      <c r="C81" s="39"/>
      <c r="Z81" s="154" t="str">
        <f t="shared" si="13"/>
        <v/>
      </c>
      <c r="AE81" s="172">
        <f t="shared" si="11"/>
        <v>3.472222222222222E-3</v>
      </c>
      <c r="AG81" s="154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7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3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45797</v>
      </c>
      <c r="C82" s="39"/>
      <c r="Z82" s="154" t="str">
        <f t="shared" si="13"/>
        <v/>
      </c>
      <c r="AE82" s="172">
        <f t="shared" si="11"/>
        <v>3.472222222222222E-3</v>
      </c>
      <c r="AG82" s="154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7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3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45797</v>
      </c>
      <c r="C83" s="39"/>
      <c r="Z83" s="154" t="str">
        <f t="shared" si="13"/>
        <v/>
      </c>
      <c r="AE83" s="172">
        <f t="shared" si="11"/>
        <v>3.472222222222222E-3</v>
      </c>
      <c r="AG83" s="154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7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3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45797</v>
      </c>
      <c r="C84" s="39"/>
      <c r="Z84" s="154" t="str">
        <f t="shared" si="13"/>
        <v/>
      </c>
      <c r="AE84" s="172">
        <f t="shared" si="11"/>
        <v>3.472222222222222E-3</v>
      </c>
      <c r="AG84" s="154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7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3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45797</v>
      </c>
      <c r="C85" s="39"/>
      <c r="Z85" s="154" t="str">
        <f t="shared" si="13"/>
        <v/>
      </c>
      <c r="AE85" s="172">
        <f t="shared" si="11"/>
        <v>3.472222222222222E-3</v>
      </c>
      <c r="AG85" s="154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7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3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45797</v>
      </c>
      <c r="C86" s="39"/>
      <c r="Z86" s="154" t="str">
        <f t="shared" si="13"/>
        <v/>
      </c>
      <c r="AE86" s="172">
        <f t="shared" si="11"/>
        <v>3.472222222222222E-3</v>
      </c>
      <c r="AG86" s="154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7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3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45797</v>
      </c>
      <c r="C87" s="39"/>
      <c r="Z87" s="154" t="str">
        <f t="shared" si="13"/>
        <v/>
      </c>
      <c r="AE87" s="172">
        <f t="shared" si="11"/>
        <v>3.472222222222222E-3</v>
      </c>
      <c r="AG87" s="154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7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3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45797</v>
      </c>
      <c r="C88" s="39"/>
      <c r="Z88" s="154" t="str">
        <f t="shared" si="13"/>
        <v/>
      </c>
      <c r="AE88" s="172">
        <f t="shared" si="11"/>
        <v>3.472222222222222E-3</v>
      </c>
      <c r="AG88" s="154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7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3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45797</v>
      </c>
      <c r="C89" s="39"/>
      <c r="Z89" s="154" t="str">
        <f t="shared" si="13"/>
        <v/>
      </c>
      <c r="AE89" s="172">
        <f t="shared" si="11"/>
        <v>3.472222222222222E-3</v>
      </c>
      <c r="AG89" s="154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7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3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45797</v>
      </c>
      <c r="C90" s="39"/>
      <c r="Z90" s="154" t="str">
        <f t="shared" si="13"/>
        <v/>
      </c>
      <c r="AE90" s="172">
        <f t="shared" si="11"/>
        <v>3.472222222222222E-3</v>
      </c>
      <c r="AG90" s="154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7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3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45797</v>
      </c>
      <c r="C91" s="39"/>
      <c r="Z91" s="154" t="str">
        <f t="shared" si="13"/>
        <v/>
      </c>
      <c r="AE91" s="172">
        <f t="shared" si="11"/>
        <v>3.472222222222222E-3</v>
      </c>
      <c r="AG91" s="154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7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3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45797</v>
      </c>
      <c r="C92" s="39"/>
      <c r="Z92" s="154" t="str">
        <f t="shared" si="13"/>
        <v/>
      </c>
      <c r="AE92" s="172">
        <f t="shared" si="11"/>
        <v>3.472222222222222E-3</v>
      </c>
      <c r="AG92" s="154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7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3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45797</v>
      </c>
      <c r="C93" s="39"/>
      <c r="Z93" s="154" t="str">
        <f t="shared" si="13"/>
        <v/>
      </c>
      <c r="AE93" s="172">
        <f t="shared" si="11"/>
        <v>3.472222222222222E-3</v>
      </c>
      <c r="AG93" s="154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7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3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45797</v>
      </c>
      <c r="C94" s="39"/>
      <c r="Z94" s="154" t="str">
        <f t="shared" si="13"/>
        <v/>
      </c>
      <c r="AE94" s="172">
        <f t="shared" si="11"/>
        <v>3.472222222222222E-3</v>
      </c>
      <c r="AG94" s="154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7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3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45797</v>
      </c>
      <c r="C95" s="39"/>
      <c r="Z95" s="154" t="str">
        <f t="shared" si="13"/>
        <v/>
      </c>
      <c r="AE95" s="172">
        <f t="shared" si="11"/>
        <v>3.472222222222222E-3</v>
      </c>
      <c r="AG95" s="154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7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3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45797</v>
      </c>
      <c r="C96" s="39"/>
      <c r="Z96" s="154" t="str">
        <f t="shared" si="13"/>
        <v/>
      </c>
      <c r="AE96" s="172">
        <f t="shared" si="11"/>
        <v>3.472222222222222E-3</v>
      </c>
      <c r="AG96" s="154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7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3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45797</v>
      </c>
      <c r="C97" s="39"/>
      <c r="Z97" s="154" t="str">
        <f t="shared" si="13"/>
        <v/>
      </c>
      <c r="AE97" s="172">
        <f t="shared" si="11"/>
        <v>3.472222222222222E-3</v>
      </c>
      <c r="AG97" s="154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7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3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45797</v>
      </c>
      <c r="C98" s="39"/>
      <c r="Z98" s="154" t="str">
        <f t="shared" si="13"/>
        <v/>
      </c>
      <c r="AE98" s="172">
        <f t="shared" si="11"/>
        <v>3.472222222222222E-3</v>
      </c>
      <c r="AG98" s="154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7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3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45797</v>
      </c>
      <c r="C99" s="39"/>
      <c r="Z99" s="154" t="str">
        <f t="shared" si="13"/>
        <v/>
      </c>
      <c r="AE99" s="172">
        <f t="shared" si="11"/>
        <v>3.472222222222222E-3</v>
      </c>
      <c r="AG99" s="154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7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3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45797</v>
      </c>
      <c r="C100" s="39"/>
      <c r="Z100" s="154" t="str">
        <f t="shared" si="13"/>
        <v/>
      </c>
      <c r="AE100" s="172">
        <f t="shared" si="11"/>
        <v>3.472222222222222E-3</v>
      </c>
      <c r="AG100" s="154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7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3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45797</v>
      </c>
      <c r="C101" s="39"/>
      <c r="Z101" s="154" t="str">
        <f t="shared" si="13"/>
        <v/>
      </c>
      <c r="AE101" s="172">
        <f t="shared" si="11"/>
        <v>3.472222222222222E-3</v>
      </c>
      <c r="AG101" s="154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7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3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45797</v>
      </c>
      <c r="C102" s="39"/>
      <c r="Z102" s="154" t="str">
        <f t="shared" si="13"/>
        <v/>
      </c>
      <c r="AE102" s="172">
        <f t="shared" si="11"/>
        <v>3.472222222222222E-3</v>
      </c>
      <c r="AG102" s="154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7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3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45797</v>
      </c>
      <c r="C103" s="39"/>
      <c r="Z103" s="154" t="str">
        <f t="shared" si="13"/>
        <v/>
      </c>
      <c r="AE103" s="172">
        <f t="shared" si="11"/>
        <v>3.472222222222222E-3</v>
      </c>
      <c r="AG103" s="154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7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3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45797</v>
      </c>
      <c r="C104" s="39"/>
      <c r="Z104" s="154" t="str">
        <f t="shared" si="13"/>
        <v/>
      </c>
      <c r="AE104" s="172">
        <f t="shared" si="11"/>
        <v>3.472222222222222E-3</v>
      </c>
      <c r="AG104" s="154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7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3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45797</v>
      </c>
      <c r="C105" s="39"/>
      <c r="Z105" s="154" t="str">
        <f t="shared" si="13"/>
        <v/>
      </c>
      <c r="AE105" s="172">
        <f t="shared" si="11"/>
        <v>3.472222222222222E-3</v>
      </c>
      <c r="AG105" s="154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7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3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45797</v>
      </c>
      <c r="C106" s="39"/>
      <c r="Z106" s="154" t="str">
        <f t="shared" si="13"/>
        <v/>
      </c>
      <c r="AE106" s="172">
        <f t="shared" si="11"/>
        <v>3.472222222222222E-3</v>
      </c>
      <c r="AG106" s="154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7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3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45797</v>
      </c>
      <c r="C107" s="39"/>
      <c r="Z107" s="154" t="str">
        <f t="shared" si="13"/>
        <v/>
      </c>
      <c r="AE107" s="172">
        <f t="shared" si="11"/>
        <v>3.472222222222222E-3</v>
      </c>
      <c r="AG107" s="154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7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3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45797</v>
      </c>
      <c r="C108" s="39"/>
      <c r="Z108" s="154" t="str">
        <f t="shared" si="13"/>
        <v/>
      </c>
      <c r="AE108" s="172">
        <f t="shared" si="11"/>
        <v>3.472222222222222E-3</v>
      </c>
      <c r="AG108" s="154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7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3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45797</v>
      </c>
      <c r="C109" s="39"/>
      <c r="Z109" s="154" t="str">
        <f t="shared" si="13"/>
        <v/>
      </c>
      <c r="AE109" s="172">
        <f t="shared" si="11"/>
        <v>3.472222222222222E-3</v>
      </c>
      <c r="AG109" s="154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7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3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45797</v>
      </c>
      <c r="C110" s="39"/>
      <c r="Z110" s="154" t="str">
        <f t="shared" si="13"/>
        <v/>
      </c>
      <c r="AE110" s="172">
        <f t="shared" si="11"/>
        <v>3.472222222222222E-3</v>
      </c>
      <c r="AG110" s="154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7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3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45797</v>
      </c>
      <c r="C111" s="39"/>
      <c r="Z111" s="154" t="str">
        <f t="shared" si="13"/>
        <v/>
      </c>
      <c r="AE111" s="172">
        <f t="shared" si="11"/>
        <v>3.472222222222222E-3</v>
      </c>
      <c r="AG111" s="154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7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3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45797</v>
      </c>
      <c r="C112" s="39"/>
      <c r="Z112" s="154" t="str">
        <f t="shared" si="13"/>
        <v/>
      </c>
      <c r="AE112" s="172">
        <f t="shared" si="11"/>
        <v>3.472222222222222E-3</v>
      </c>
      <c r="AG112" s="154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7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3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45797</v>
      </c>
      <c r="C113" s="39"/>
      <c r="Z113" s="154" t="str">
        <f t="shared" si="13"/>
        <v/>
      </c>
      <c r="AE113" s="172">
        <f t="shared" si="11"/>
        <v>3.472222222222222E-3</v>
      </c>
      <c r="AG113" s="154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7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3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45797</v>
      </c>
      <c r="C114" s="39"/>
      <c r="Z114" s="154" t="str">
        <f t="shared" si="13"/>
        <v/>
      </c>
      <c r="AE114" s="172">
        <f t="shared" si="11"/>
        <v>3.472222222222222E-3</v>
      </c>
      <c r="AG114" s="154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7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3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45797</v>
      </c>
      <c r="C115" s="39"/>
      <c r="Z115" s="154" t="str">
        <f t="shared" si="13"/>
        <v/>
      </c>
      <c r="AE115" s="172">
        <f t="shared" si="11"/>
        <v>3.472222222222222E-3</v>
      </c>
      <c r="AG115" s="154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7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3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45797</v>
      </c>
      <c r="C116" s="39"/>
      <c r="Z116" s="154" t="str">
        <f t="shared" si="13"/>
        <v/>
      </c>
      <c r="AE116" s="172">
        <f t="shared" si="11"/>
        <v>3.472222222222222E-3</v>
      </c>
      <c r="AG116" s="154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7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3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45797</v>
      </c>
      <c r="C117" s="39"/>
      <c r="Z117" s="154" t="str">
        <f t="shared" si="13"/>
        <v/>
      </c>
      <c r="AE117" s="172">
        <f t="shared" si="11"/>
        <v>3.472222222222222E-3</v>
      </c>
      <c r="AG117" s="154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7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3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45797</v>
      </c>
      <c r="C118" s="39"/>
      <c r="Z118" s="154" t="str">
        <f t="shared" si="13"/>
        <v/>
      </c>
      <c r="AE118" s="172">
        <f t="shared" si="11"/>
        <v>3.472222222222222E-3</v>
      </c>
      <c r="AG118" s="154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7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3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45797</v>
      </c>
      <c r="C119" s="39"/>
      <c r="Z119" s="154" t="str">
        <f t="shared" si="13"/>
        <v/>
      </c>
      <c r="AE119" s="172">
        <f t="shared" si="11"/>
        <v>3.472222222222222E-3</v>
      </c>
      <c r="AG119" s="154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7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3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45797</v>
      </c>
      <c r="C120" s="39"/>
      <c r="Z120" s="154" t="str">
        <f t="shared" si="13"/>
        <v/>
      </c>
      <c r="AE120" s="172">
        <f t="shared" si="11"/>
        <v>3.472222222222222E-3</v>
      </c>
      <c r="AG120" s="154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7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3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45797</v>
      </c>
      <c r="C121" s="39"/>
      <c r="Z121" s="154" t="str">
        <f t="shared" si="13"/>
        <v/>
      </c>
      <c r="AE121" s="172">
        <f t="shared" si="11"/>
        <v>3.472222222222222E-3</v>
      </c>
      <c r="AG121" s="154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7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3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45797</v>
      </c>
      <c r="C122" s="39"/>
      <c r="Z122" s="154" t="str">
        <f t="shared" si="13"/>
        <v/>
      </c>
      <c r="AE122" s="172">
        <f t="shared" si="11"/>
        <v>3.472222222222222E-3</v>
      </c>
      <c r="AG122" s="154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7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3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45797</v>
      </c>
      <c r="C123" s="39"/>
      <c r="Z123" s="154" t="str">
        <f t="shared" si="13"/>
        <v/>
      </c>
      <c r="AE123" s="172">
        <f t="shared" si="11"/>
        <v>3.472222222222222E-3</v>
      </c>
      <c r="AG123" s="154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7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3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45797</v>
      </c>
      <c r="C124" s="39"/>
      <c r="Z124" s="154" t="str">
        <f t="shared" si="13"/>
        <v/>
      </c>
      <c r="AE124" s="172">
        <f t="shared" si="11"/>
        <v>3.472222222222222E-3</v>
      </c>
      <c r="AG124" s="154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7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3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45797</v>
      </c>
      <c r="C125" s="39"/>
      <c r="Z125" s="154" t="str">
        <f t="shared" si="13"/>
        <v/>
      </c>
      <c r="AE125" s="172">
        <f t="shared" si="11"/>
        <v>3.472222222222222E-3</v>
      </c>
      <c r="AG125" s="154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7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3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45797</v>
      </c>
      <c r="C126" s="39"/>
      <c r="Z126" s="154" t="str">
        <f t="shared" si="13"/>
        <v/>
      </c>
      <c r="AE126" s="172">
        <f t="shared" si="11"/>
        <v>3.472222222222222E-3</v>
      </c>
      <c r="AG126" s="154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7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3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45797</v>
      </c>
      <c r="C127" s="39"/>
      <c r="Z127" s="154" t="str">
        <f t="shared" si="13"/>
        <v/>
      </c>
      <c r="AE127" s="172">
        <f t="shared" si="11"/>
        <v>3.472222222222222E-3</v>
      </c>
      <c r="AG127" s="154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7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3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45797</v>
      </c>
      <c r="C128" s="39"/>
      <c r="Z128" s="154" t="str">
        <f t="shared" si="13"/>
        <v/>
      </c>
      <c r="AE128" s="172">
        <f t="shared" si="11"/>
        <v>3.472222222222222E-3</v>
      </c>
      <c r="AG128" s="154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7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3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45797</v>
      </c>
      <c r="C129" s="39"/>
      <c r="Z129" s="154" t="str">
        <f t="shared" si="13"/>
        <v/>
      </c>
      <c r="AE129" s="172">
        <f t="shared" si="11"/>
        <v>3.472222222222222E-3</v>
      </c>
      <c r="AG129" s="154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7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3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45797</v>
      </c>
      <c r="C130" s="39"/>
      <c r="Z130" s="154" t="str">
        <f t="shared" si="13"/>
        <v/>
      </c>
      <c r="AE130" s="172">
        <f t="shared" si="11"/>
        <v>3.472222222222222E-3</v>
      </c>
      <c r="AG130" s="154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7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3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45797</v>
      </c>
      <c r="C131" s="39"/>
      <c r="Z131" s="154" t="str">
        <f t="shared" si="13"/>
        <v/>
      </c>
      <c r="AE131" s="172">
        <f t="shared" si="11"/>
        <v>3.472222222222222E-3</v>
      </c>
      <c r="AG131" s="154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7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3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45797</v>
      </c>
      <c r="C132" s="39"/>
      <c r="Z132" s="154" t="str">
        <f t="shared" si="13"/>
        <v/>
      </c>
      <c r="AE132" s="172">
        <f t="shared" si="11"/>
        <v>3.472222222222222E-3</v>
      </c>
      <c r="AG132" s="154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7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3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45797</v>
      </c>
      <c r="C133" s="39"/>
      <c r="Z133" s="154" t="str">
        <f t="shared" si="13"/>
        <v/>
      </c>
      <c r="AE133" s="172">
        <f t="shared" ref="AE133:AE196" si="22">TIME(0,$K133+5,0)</f>
        <v>3.472222222222222E-3</v>
      </c>
      <c r="AG133" s="154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7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3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45797</v>
      </c>
      <c r="C134" s="39"/>
      <c r="Z134" s="154" t="str">
        <f t="shared" ref="Z134:Z197" si="24">IF(Y134="","",$Y134+TIME(0,5,0))</f>
        <v/>
      </c>
      <c r="AE134" s="172">
        <f t="shared" si="22"/>
        <v>3.472222222222222E-3</v>
      </c>
      <c r="AG134" s="154" t="str">
        <f t="shared" ref="AG134:AG197" si="25">IF(AF134="","",IF(D134="トラブル報告",AF134+TIME(0,45,0),SUM(AE134,AF134)))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7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3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45797</v>
      </c>
      <c r="C135" s="39"/>
      <c r="Z135" s="154" t="str">
        <f t="shared" si="24"/>
        <v/>
      </c>
      <c r="AE135" s="172">
        <f t="shared" si="22"/>
        <v>3.472222222222222E-3</v>
      </c>
      <c r="AG135" s="154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7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3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45797</v>
      </c>
      <c r="C136" s="39"/>
      <c r="Z136" s="154" t="str">
        <f t="shared" si="24"/>
        <v/>
      </c>
      <c r="AE136" s="172">
        <f t="shared" si="22"/>
        <v>3.472222222222222E-3</v>
      </c>
      <c r="AG136" s="154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7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3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45797</v>
      </c>
      <c r="C137" s="39"/>
      <c r="Z137" s="154" t="str">
        <f t="shared" si="24"/>
        <v/>
      </c>
      <c r="AE137" s="172">
        <f t="shared" si="22"/>
        <v>3.472222222222222E-3</v>
      </c>
      <c r="AG137" s="154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7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3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45797</v>
      </c>
      <c r="C138" s="39"/>
      <c r="Z138" s="154" t="str">
        <f t="shared" si="24"/>
        <v/>
      </c>
      <c r="AE138" s="172">
        <f t="shared" si="22"/>
        <v>3.472222222222222E-3</v>
      </c>
      <c r="AG138" s="154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7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3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45797</v>
      </c>
      <c r="C139" s="39"/>
      <c r="Z139" s="154" t="str">
        <f t="shared" si="24"/>
        <v/>
      </c>
      <c r="AE139" s="172">
        <f t="shared" si="22"/>
        <v>3.472222222222222E-3</v>
      </c>
      <c r="AG139" s="154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7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3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45797</v>
      </c>
      <c r="C140" s="39"/>
      <c r="Z140" s="154" t="str">
        <f t="shared" si="24"/>
        <v/>
      </c>
      <c r="AE140" s="172">
        <f t="shared" si="22"/>
        <v>3.472222222222222E-3</v>
      </c>
      <c r="AG140" s="154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7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3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45797</v>
      </c>
      <c r="C141" s="39"/>
      <c r="Z141" s="154" t="str">
        <f t="shared" si="24"/>
        <v/>
      </c>
      <c r="AE141" s="172">
        <f t="shared" si="22"/>
        <v>3.472222222222222E-3</v>
      </c>
      <c r="AG141" s="154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7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3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45797</v>
      </c>
      <c r="C142" s="39"/>
      <c r="Z142" s="154" t="str">
        <f t="shared" si="24"/>
        <v/>
      </c>
      <c r="AE142" s="172">
        <f t="shared" si="22"/>
        <v>3.472222222222222E-3</v>
      </c>
      <c r="AG142" s="154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7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3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45797</v>
      </c>
      <c r="C143" s="39"/>
      <c r="Z143" s="154" t="str">
        <f t="shared" si="24"/>
        <v/>
      </c>
      <c r="AE143" s="172">
        <f t="shared" si="22"/>
        <v>3.472222222222222E-3</v>
      </c>
      <c r="AG143" s="154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7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3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45797</v>
      </c>
      <c r="C144" s="39"/>
      <c r="Z144" s="154" t="str">
        <f t="shared" si="24"/>
        <v/>
      </c>
      <c r="AE144" s="172">
        <f t="shared" si="22"/>
        <v>3.472222222222222E-3</v>
      </c>
      <c r="AG144" s="154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7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3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45797</v>
      </c>
      <c r="C145" s="39"/>
      <c r="Z145" s="154" t="str">
        <f t="shared" si="24"/>
        <v/>
      </c>
      <c r="AE145" s="172">
        <f t="shared" si="22"/>
        <v>3.472222222222222E-3</v>
      </c>
      <c r="AG145" s="154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7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3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45797</v>
      </c>
      <c r="C146" s="39"/>
      <c r="Z146" s="154" t="str">
        <f t="shared" si="24"/>
        <v/>
      </c>
      <c r="AE146" s="172">
        <f t="shared" si="22"/>
        <v>3.472222222222222E-3</v>
      </c>
      <c r="AG146" s="154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7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3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45797</v>
      </c>
      <c r="C147" s="39"/>
      <c r="Z147" s="154" t="str">
        <f t="shared" si="24"/>
        <v/>
      </c>
      <c r="AE147" s="172">
        <f t="shared" si="22"/>
        <v>3.472222222222222E-3</v>
      </c>
      <c r="AG147" s="154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7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3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45797</v>
      </c>
      <c r="C148" s="39"/>
      <c r="Z148" s="154" t="str">
        <f t="shared" si="24"/>
        <v/>
      </c>
      <c r="AE148" s="172">
        <f t="shared" si="22"/>
        <v>3.472222222222222E-3</v>
      </c>
      <c r="AG148" s="154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7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3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45797</v>
      </c>
      <c r="C149" s="39"/>
      <c r="Z149" s="154" t="str">
        <f t="shared" si="24"/>
        <v/>
      </c>
      <c r="AE149" s="172">
        <f t="shared" si="22"/>
        <v>3.472222222222222E-3</v>
      </c>
      <c r="AG149" s="154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7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3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45797</v>
      </c>
      <c r="C150" s="39"/>
      <c r="Z150" s="154" t="str">
        <f t="shared" si="24"/>
        <v/>
      </c>
      <c r="AE150" s="172">
        <f t="shared" si="22"/>
        <v>3.472222222222222E-3</v>
      </c>
      <c r="AG150" s="154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7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3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45797</v>
      </c>
      <c r="C151" s="39"/>
      <c r="Z151" s="154" t="str">
        <f t="shared" si="24"/>
        <v/>
      </c>
      <c r="AE151" s="172">
        <f t="shared" si="22"/>
        <v>3.472222222222222E-3</v>
      </c>
      <c r="AG151" s="154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7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3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45797</v>
      </c>
      <c r="C152" s="39"/>
      <c r="Z152" s="154" t="str">
        <f t="shared" si="24"/>
        <v/>
      </c>
      <c r="AE152" s="172">
        <f t="shared" si="22"/>
        <v>3.472222222222222E-3</v>
      </c>
      <c r="AG152" s="154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7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3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45797</v>
      </c>
      <c r="C153" s="39"/>
      <c r="Z153" s="154" t="str">
        <f t="shared" si="24"/>
        <v/>
      </c>
      <c r="AE153" s="172">
        <f t="shared" si="22"/>
        <v>3.472222222222222E-3</v>
      </c>
      <c r="AG153" s="154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7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3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45797</v>
      </c>
      <c r="C154" s="39"/>
      <c r="Z154" s="154" t="str">
        <f t="shared" si="24"/>
        <v/>
      </c>
      <c r="AE154" s="172">
        <f t="shared" si="22"/>
        <v>3.472222222222222E-3</v>
      </c>
      <c r="AG154" s="154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7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3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45797</v>
      </c>
      <c r="C155" s="39"/>
      <c r="Z155" s="154" t="str">
        <f t="shared" si="24"/>
        <v/>
      </c>
      <c r="AE155" s="172">
        <f t="shared" si="22"/>
        <v>3.472222222222222E-3</v>
      </c>
      <c r="AG155" s="154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7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3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45797</v>
      </c>
      <c r="C156" s="39"/>
      <c r="Z156" s="154" t="str">
        <f t="shared" si="24"/>
        <v/>
      </c>
      <c r="AE156" s="172">
        <f t="shared" si="22"/>
        <v>3.472222222222222E-3</v>
      </c>
      <c r="AG156" s="154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7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3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45797</v>
      </c>
      <c r="C157" s="39"/>
      <c r="Z157" s="154" t="str">
        <f t="shared" si="24"/>
        <v/>
      </c>
      <c r="AE157" s="172">
        <f t="shared" si="22"/>
        <v>3.472222222222222E-3</v>
      </c>
      <c r="AG157" s="154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7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3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45797</v>
      </c>
      <c r="C158" s="39"/>
      <c r="Z158" s="154" t="str">
        <f t="shared" si="24"/>
        <v/>
      </c>
      <c r="AE158" s="172">
        <f t="shared" si="22"/>
        <v>3.472222222222222E-3</v>
      </c>
      <c r="AG158" s="154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7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3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45797</v>
      </c>
      <c r="C159" s="39"/>
      <c r="Z159" s="154" t="str">
        <f t="shared" si="24"/>
        <v/>
      </c>
      <c r="AE159" s="172">
        <f t="shared" si="22"/>
        <v>3.472222222222222E-3</v>
      </c>
      <c r="AG159" s="154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7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3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45797</v>
      </c>
      <c r="C160" s="39"/>
      <c r="Z160" s="154" t="str">
        <f t="shared" si="24"/>
        <v/>
      </c>
      <c r="AE160" s="172">
        <f t="shared" si="22"/>
        <v>3.472222222222222E-3</v>
      </c>
      <c r="AG160" s="154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7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3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45797</v>
      </c>
      <c r="C161" s="39"/>
      <c r="Z161" s="154" t="str">
        <f t="shared" si="24"/>
        <v/>
      </c>
      <c r="AE161" s="172">
        <f t="shared" si="22"/>
        <v>3.472222222222222E-3</v>
      </c>
      <c r="AG161" s="154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7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3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45797</v>
      </c>
      <c r="C162" s="39"/>
      <c r="Z162" s="154" t="str">
        <f t="shared" si="24"/>
        <v/>
      </c>
      <c r="AE162" s="172">
        <f t="shared" si="22"/>
        <v>3.472222222222222E-3</v>
      </c>
      <c r="AG162" s="154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7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3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45797</v>
      </c>
      <c r="C163" s="39"/>
      <c r="Z163" s="154" t="str">
        <f t="shared" si="24"/>
        <v/>
      </c>
      <c r="AE163" s="172">
        <f t="shared" si="22"/>
        <v>3.472222222222222E-3</v>
      </c>
      <c r="AG163" s="154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7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3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45797</v>
      </c>
      <c r="C164" s="39"/>
      <c r="Z164" s="154" t="str">
        <f t="shared" si="24"/>
        <v/>
      </c>
      <c r="AE164" s="172">
        <f t="shared" si="22"/>
        <v>3.472222222222222E-3</v>
      </c>
      <c r="AG164" s="154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7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3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45797</v>
      </c>
      <c r="C165" s="39"/>
      <c r="Z165" s="154" t="str">
        <f t="shared" si="24"/>
        <v/>
      </c>
      <c r="AE165" s="172">
        <f t="shared" si="22"/>
        <v>3.472222222222222E-3</v>
      </c>
      <c r="AG165" s="154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7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3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45797</v>
      </c>
      <c r="C166" s="39"/>
      <c r="Z166" s="154" t="str">
        <f t="shared" si="24"/>
        <v/>
      </c>
      <c r="AE166" s="172">
        <f t="shared" si="22"/>
        <v>3.472222222222222E-3</v>
      </c>
      <c r="AG166" s="154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7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3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45797</v>
      </c>
      <c r="C167" s="39"/>
      <c r="Z167" s="154" t="str">
        <f t="shared" si="24"/>
        <v/>
      </c>
      <c r="AE167" s="172">
        <f t="shared" si="22"/>
        <v>3.472222222222222E-3</v>
      </c>
      <c r="AG167" s="154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7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3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45797</v>
      </c>
      <c r="C168" s="39"/>
      <c r="Z168" s="154" t="str">
        <f t="shared" si="24"/>
        <v/>
      </c>
      <c r="AE168" s="172">
        <f t="shared" si="22"/>
        <v>3.472222222222222E-3</v>
      </c>
      <c r="AG168" s="154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7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3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45797</v>
      </c>
      <c r="C169" s="39"/>
      <c r="Z169" s="154" t="str">
        <f t="shared" si="24"/>
        <v/>
      </c>
      <c r="AE169" s="172">
        <f t="shared" si="22"/>
        <v>3.472222222222222E-3</v>
      </c>
      <c r="AG169" s="154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7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3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45797</v>
      </c>
      <c r="C170" s="39"/>
      <c r="Z170" s="154" t="str">
        <f t="shared" si="24"/>
        <v/>
      </c>
      <c r="AE170" s="172">
        <f t="shared" si="22"/>
        <v>3.472222222222222E-3</v>
      </c>
      <c r="AG170" s="154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7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3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45797</v>
      </c>
      <c r="C171" s="39"/>
      <c r="Z171" s="154" t="str">
        <f t="shared" si="24"/>
        <v/>
      </c>
      <c r="AE171" s="172">
        <f t="shared" si="22"/>
        <v>3.472222222222222E-3</v>
      </c>
      <c r="AG171" s="154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7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3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45797</v>
      </c>
      <c r="C172" s="39"/>
      <c r="Z172" s="154" t="str">
        <f t="shared" si="24"/>
        <v/>
      </c>
      <c r="AE172" s="172">
        <f t="shared" si="22"/>
        <v>3.472222222222222E-3</v>
      </c>
      <c r="AG172" s="154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7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3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45797</v>
      </c>
      <c r="C173" s="39"/>
      <c r="Z173" s="154" t="str">
        <f t="shared" si="24"/>
        <v/>
      </c>
      <c r="AE173" s="172">
        <f t="shared" si="22"/>
        <v>3.472222222222222E-3</v>
      </c>
      <c r="AG173" s="154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7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3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45797</v>
      </c>
      <c r="C174" s="39"/>
      <c r="Z174" s="154" t="str">
        <f t="shared" si="24"/>
        <v/>
      </c>
      <c r="AE174" s="172">
        <f t="shared" si="22"/>
        <v>3.472222222222222E-3</v>
      </c>
      <c r="AG174" s="154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7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3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45797</v>
      </c>
      <c r="C175" s="39"/>
      <c r="Z175" s="154" t="str">
        <f t="shared" si="24"/>
        <v/>
      </c>
      <c r="AE175" s="172">
        <f t="shared" si="22"/>
        <v>3.472222222222222E-3</v>
      </c>
      <c r="AG175" s="154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7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3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45797</v>
      </c>
      <c r="C176" s="39"/>
      <c r="Z176" s="154" t="str">
        <f t="shared" si="24"/>
        <v/>
      </c>
      <c r="AE176" s="172">
        <f t="shared" si="22"/>
        <v>3.472222222222222E-3</v>
      </c>
      <c r="AG176" s="154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7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3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45797</v>
      </c>
      <c r="C177" s="39"/>
      <c r="Z177" s="154" t="str">
        <f t="shared" si="24"/>
        <v/>
      </c>
      <c r="AE177" s="172">
        <f t="shared" si="22"/>
        <v>3.472222222222222E-3</v>
      </c>
      <c r="AG177" s="154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7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3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45797</v>
      </c>
      <c r="C178" s="39"/>
      <c r="Z178" s="154" t="str">
        <f t="shared" si="24"/>
        <v/>
      </c>
      <c r="AE178" s="172">
        <f t="shared" si="22"/>
        <v>3.472222222222222E-3</v>
      </c>
      <c r="AG178" s="154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7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3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45797</v>
      </c>
      <c r="C179" s="39"/>
      <c r="Z179" s="154" t="str">
        <f t="shared" si="24"/>
        <v/>
      </c>
      <c r="AE179" s="172">
        <f t="shared" si="22"/>
        <v>3.472222222222222E-3</v>
      </c>
      <c r="AG179" s="154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7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3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45797</v>
      </c>
      <c r="C180" s="39"/>
      <c r="Z180" s="154" t="str">
        <f t="shared" si="24"/>
        <v/>
      </c>
      <c r="AE180" s="172">
        <f t="shared" si="22"/>
        <v>3.472222222222222E-3</v>
      </c>
      <c r="AG180" s="154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7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3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45797</v>
      </c>
      <c r="C181" s="39"/>
      <c r="Z181" s="154" t="str">
        <f t="shared" si="24"/>
        <v/>
      </c>
      <c r="AE181" s="172">
        <f t="shared" si="22"/>
        <v>3.472222222222222E-3</v>
      </c>
      <c r="AG181" s="154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7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3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45797</v>
      </c>
      <c r="C182" s="39"/>
      <c r="Z182" s="154" t="str">
        <f t="shared" si="24"/>
        <v/>
      </c>
      <c r="AE182" s="172">
        <f t="shared" si="22"/>
        <v>3.472222222222222E-3</v>
      </c>
      <c r="AG182" s="154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7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3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45797</v>
      </c>
      <c r="C183" s="39"/>
      <c r="Z183" s="154" t="str">
        <f t="shared" si="24"/>
        <v/>
      </c>
      <c r="AE183" s="172">
        <f t="shared" si="22"/>
        <v>3.472222222222222E-3</v>
      </c>
      <c r="AG183" s="154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7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3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45797</v>
      </c>
      <c r="C184" s="39"/>
      <c r="Z184" s="154" t="str">
        <f t="shared" si="24"/>
        <v/>
      </c>
      <c r="AE184" s="172">
        <f t="shared" si="22"/>
        <v>3.472222222222222E-3</v>
      </c>
      <c r="AG184" s="154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7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3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45797</v>
      </c>
      <c r="C185" s="39"/>
      <c r="Z185" s="154" t="str">
        <f t="shared" si="24"/>
        <v/>
      </c>
      <c r="AE185" s="172">
        <f t="shared" si="22"/>
        <v>3.472222222222222E-3</v>
      </c>
      <c r="AG185" s="154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7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3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45797</v>
      </c>
      <c r="C186" s="39"/>
      <c r="Z186" s="154" t="str">
        <f t="shared" si="24"/>
        <v/>
      </c>
      <c r="AE186" s="172">
        <f t="shared" si="22"/>
        <v>3.472222222222222E-3</v>
      </c>
      <c r="AG186" s="154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7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3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45797</v>
      </c>
      <c r="C187" s="39"/>
      <c r="Z187" s="154" t="str">
        <f t="shared" si="24"/>
        <v/>
      </c>
      <c r="AE187" s="172">
        <f t="shared" si="22"/>
        <v>3.472222222222222E-3</v>
      </c>
      <c r="AG187" s="154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7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3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45797</v>
      </c>
      <c r="C188" s="39"/>
      <c r="Z188" s="154" t="str">
        <f t="shared" si="24"/>
        <v/>
      </c>
      <c r="AE188" s="172">
        <f t="shared" si="22"/>
        <v>3.472222222222222E-3</v>
      </c>
      <c r="AG188" s="154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7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3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45797</v>
      </c>
      <c r="C189" s="39"/>
      <c r="Z189" s="154" t="str">
        <f t="shared" si="24"/>
        <v/>
      </c>
      <c r="AE189" s="172">
        <f t="shared" si="22"/>
        <v>3.472222222222222E-3</v>
      </c>
      <c r="AG189" s="154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7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3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45797</v>
      </c>
      <c r="C190" s="39"/>
      <c r="Z190" s="154" t="str">
        <f t="shared" si="24"/>
        <v/>
      </c>
      <c r="AE190" s="172">
        <f t="shared" si="22"/>
        <v>3.472222222222222E-3</v>
      </c>
      <c r="AG190" s="154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7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3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45797</v>
      </c>
      <c r="C191" s="39"/>
      <c r="Z191" s="154" t="str">
        <f t="shared" si="24"/>
        <v/>
      </c>
      <c r="AE191" s="172">
        <f t="shared" si="22"/>
        <v>3.472222222222222E-3</v>
      </c>
      <c r="AG191" s="154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7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3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45797</v>
      </c>
      <c r="C192" s="39"/>
      <c r="Z192" s="154" t="str">
        <f t="shared" si="24"/>
        <v/>
      </c>
      <c r="AE192" s="172">
        <f t="shared" si="22"/>
        <v>3.472222222222222E-3</v>
      </c>
      <c r="AG192" s="154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7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3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45797</v>
      </c>
      <c r="C193" s="39"/>
      <c r="Z193" s="154" t="str">
        <f t="shared" si="24"/>
        <v/>
      </c>
      <c r="AE193" s="172">
        <f t="shared" si="22"/>
        <v>3.472222222222222E-3</v>
      </c>
      <c r="AG193" s="154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7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3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45797</v>
      </c>
      <c r="C194" s="39"/>
      <c r="Z194" s="154" t="str">
        <f t="shared" si="24"/>
        <v/>
      </c>
      <c r="AE194" s="172">
        <f t="shared" si="22"/>
        <v>3.472222222222222E-3</v>
      </c>
      <c r="AG194" s="154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7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3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45797</v>
      </c>
      <c r="C195" s="39"/>
      <c r="Z195" s="154" t="str">
        <f t="shared" si="24"/>
        <v/>
      </c>
      <c r="AE195" s="172">
        <f t="shared" si="22"/>
        <v>3.472222222222222E-3</v>
      </c>
      <c r="AG195" s="154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7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3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45797</v>
      </c>
      <c r="C196" s="39"/>
      <c r="Z196" s="154" t="str">
        <f t="shared" si="24"/>
        <v/>
      </c>
      <c r="AE196" s="172">
        <f t="shared" si="22"/>
        <v>3.472222222222222E-3</v>
      </c>
      <c r="AG196" s="154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7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3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45797</v>
      </c>
      <c r="C197" s="39"/>
      <c r="Z197" s="154" t="str">
        <f t="shared" si="24"/>
        <v/>
      </c>
      <c r="AE197" s="172">
        <f t="shared" ref="AE197:AE260" si="33">TIME(0,$K197+5,0)</f>
        <v>3.472222222222222E-3</v>
      </c>
      <c r="AG197" s="154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7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3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45797</v>
      </c>
      <c r="C198" s="39"/>
      <c r="Z198" s="154" t="str">
        <f t="shared" ref="Z198:Z261" si="35">IF(Y198="","",$Y198+TIME(0,5,0))</f>
        <v/>
      </c>
      <c r="AE198" s="172">
        <f t="shared" si="33"/>
        <v>3.472222222222222E-3</v>
      </c>
      <c r="AG198" s="154" t="str">
        <f t="shared" ref="AG198:AG261" si="36">IF(AF198="","",IF(D198="トラブル報告",AF198+TIME(0,45,0),SUM(AE198,AF198)))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7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3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45797</v>
      </c>
      <c r="C199" s="39"/>
      <c r="Z199" s="154" t="str">
        <f t="shared" si="35"/>
        <v/>
      </c>
      <c r="AE199" s="172">
        <f t="shared" si="33"/>
        <v>3.472222222222222E-3</v>
      </c>
      <c r="AG199" s="154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7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3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45797</v>
      </c>
      <c r="C200" s="39"/>
      <c r="Z200" s="154" t="str">
        <f t="shared" si="35"/>
        <v/>
      </c>
      <c r="AE200" s="172">
        <f t="shared" si="33"/>
        <v>3.472222222222222E-3</v>
      </c>
      <c r="AG200" s="154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7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3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45797</v>
      </c>
      <c r="C201" s="39"/>
      <c r="Z201" s="154" t="str">
        <f t="shared" si="35"/>
        <v/>
      </c>
      <c r="AE201" s="172">
        <f t="shared" si="33"/>
        <v>3.472222222222222E-3</v>
      </c>
      <c r="AG201" s="154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7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3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45797</v>
      </c>
      <c r="C202" s="39"/>
      <c r="Z202" s="154" t="str">
        <f t="shared" si="35"/>
        <v/>
      </c>
      <c r="AE202" s="172">
        <f t="shared" si="33"/>
        <v>3.472222222222222E-3</v>
      </c>
      <c r="AG202" s="154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7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3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45797</v>
      </c>
      <c r="C203" s="39"/>
      <c r="Z203" s="154" t="str">
        <f t="shared" si="35"/>
        <v/>
      </c>
      <c r="AE203" s="172">
        <f t="shared" si="33"/>
        <v>3.472222222222222E-3</v>
      </c>
      <c r="AG203" s="154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7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3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45797</v>
      </c>
      <c r="C204" s="39"/>
      <c r="Z204" s="154" t="str">
        <f t="shared" si="35"/>
        <v/>
      </c>
      <c r="AE204" s="172">
        <f t="shared" si="33"/>
        <v>3.472222222222222E-3</v>
      </c>
      <c r="AG204" s="154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7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3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45797</v>
      </c>
      <c r="C205" s="39"/>
      <c r="Z205" s="154" t="str">
        <f t="shared" si="35"/>
        <v/>
      </c>
      <c r="AE205" s="172">
        <f t="shared" si="33"/>
        <v>3.472222222222222E-3</v>
      </c>
      <c r="AG205" s="154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7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3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45797</v>
      </c>
      <c r="C206" s="39"/>
      <c r="Z206" s="154" t="str">
        <f t="shared" si="35"/>
        <v/>
      </c>
      <c r="AE206" s="172">
        <f t="shared" si="33"/>
        <v>3.472222222222222E-3</v>
      </c>
      <c r="AG206" s="154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7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3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45797</v>
      </c>
      <c r="C207" s="39"/>
      <c r="Z207" s="154" t="str">
        <f t="shared" si="35"/>
        <v/>
      </c>
      <c r="AE207" s="172">
        <f t="shared" si="33"/>
        <v>3.472222222222222E-3</v>
      </c>
      <c r="AG207" s="154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7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3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45797</v>
      </c>
      <c r="C208" s="39"/>
      <c r="Z208" s="154" t="str">
        <f t="shared" si="35"/>
        <v/>
      </c>
      <c r="AE208" s="172">
        <f t="shared" si="33"/>
        <v>3.472222222222222E-3</v>
      </c>
      <c r="AG208" s="154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7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3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45797</v>
      </c>
      <c r="C209" s="39"/>
      <c r="Z209" s="154" t="str">
        <f t="shared" si="35"/>
        <v/>
      </c>
      <c r="AE209" s="172">
        <f t="shared" si="33"/>
        <v>3.472222222222222E-3</v>
      </c>
      <c r="AG209" s="154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7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3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45797</v>
      </c>
      <c r="C210" s="39"/>
      <c r="Z210" s="154" t="str">
        <f t="shared" si="35"/>
        <v/>
      </c>
      <c r="AE210" s="172">
        <f t="shared" si="33"/>
        <v>3.472222222222222E-3</v>
      </c>
      <c r="AG210" s="154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7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3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45797</v>
      </c>
      <c r="C211" s="39"/>
      <c r="Z211" s="154" t="str">
        <f t="shared" si="35"/>
        <v/>
      </c>
      <c r="AE211" s="172">
        <f t="shared" si="33"/>
        <v>3.472222222222222E-3</v>
      </c>
      <c r="AG211" s="154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7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3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45797</v>
      </c>
      <c r="C212" s="39"/>
      <c r="Z212" s="154" t="str">
        <f t="shared" si="35"/>
        <v/>
      </c>
      <c r="AE212" s="172">
        <f t="shared" si="33"/>
        <v>3.472222222222222E-3</v>
      </c>
      <c r="AG212" s="154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7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3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45797</v>
      </c>
      <c r="C213" s="39"/>
      <c r="Z213" s="154" t="str">
        <f t="shared" si="35"/>
        <v/>
      </c>
      <c r="AE213" s="172">
        <f t="shared" si="33"/>
        <v>3.472222222222222E-3</v>
      </c>
      <c r="AG213" s="154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7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3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45797</v>
      </c>
      <c r="C214" s="39"/>
      <c r="Z214" s="154" t="str">
        <f t="shared" si="35"/>
        <v/>
      </c>
      <c r="AE214" s="172">
        <f t="shared" si="33"/>
        <v>3.472222222222222E-3</v>
      </c>
      <c r="AG214" s="154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7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3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45797</v>
      </c>
      <c r="C215" s="39"/>
      <c r="Z215" s="154" t="str">
        <f t="shared" si="35"/>
        <v/>
      </c>
      <c r="AE215" s="172">
        <f t="shared" si="33"/>
        <v>3.472222222222222E-3</v>
      </c>
      <c r="AG215" s="154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7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3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45797</v>
      </c>
      <c r="C216" s="39"/>
      <c r="Z216" s="154" t="str">
        <f t="shared" si="35"/>
        <v/>
      </c>
      <c r="AE216" s="172">
        <f t="shared" si="33"/>
        <v>3.472222222222222E-3</v>
      </c>
      <c r="AG216" s="154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7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3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45797</v>
      </c>
      <c r="C217" s="39"/>
      <c r="Z217" s="154" t="str">
        <f t="shared" si="35"/>
        <v/>
      </c>
      <c r="AE217" s="172">
        <f t="shared" si="33"/>
        <v>3.472222222222222E-3</v>
      </c>
      <c r="AG217" s="154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7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3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45797</v>
      </c>
      <c r="C218" s="39"/>
      <c r="Z218" s="154" t="str">
        <f t="shared" si="35"/>
        <v/>
      </c>
      <c r="AE218" s="172">
        <f t="shared" si="33"/>
        <v>3.472222222222222E-3</v>
      </c>
      <c r="AG218" s="154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7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3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45797</v>
      </c>
      <c r="C219" s="39"/>
      <c r="Z219" s="154" t="str">
        <f t="shared" si="35"/>
        <v/>
      </c>
      <c r="AE219" s="172">
        <f t="shared" si="33"/>
        <v>3.472222222222222E-3</v>
      </c>
      <c r="AG219" s="154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7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3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45797</v>
      </c>
      <c r="C220" s="39"/>
      <c r="Z220" s="154" t="str">
        <f t="shared" si="35"/>
        <v/>
      </c>
      <c r="AE220" s="172">
        <f t="shared" si="33"/>
        <v>3.472222222222222E-3</v>
      </c>
      <c r="AG220" s="154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7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3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45797</v>
      </c>
      <c r="C221" s="39"/>
      <c r="Z221" s="154" t="str">
        <f t="shared" si="35"/>
        <v/>
      </c>
      <c r="AE221" s="172">
        <f t="shared" si="33"/>
        <v>3.472222222222222E-3</v>
      </c>
      <c r="AG221" s="154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7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3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45797</v>
      </c>
      <c r="C222" s="39"/>
      <c r="Z222" s="154" t="str">
        <f t="shared" si="35"/>
        <v/>
      </c>
      <c r="AE222" s="172">
        <f t="shared" si="33"/>
        <v>3.472222222222222E-3</v>
      </c>
      <c r="AG222" s="154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7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3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45797</v>
      </c>
      <c r="C223" s="39"/>
      <c r="Z223" s="154" t="str">
        <f t="shared" si="35"/>
        <v/>
      </c>
      <c r="AE223" s="172">
        <f t="shared" si="33"/>
        <v>3.472222222222222E-3</v>
      </c>
      <c r="AG223" s="154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7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3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45797</v>
      </c>
      <c r="C224" s="39"/>
      <c r="Z224" s="154" t="str">
        <f t="shared" si="35"/>
        <v/>
      </c>
      <c r="AE224" s="172">
        <f t="shared" si="33"/>
        <v>3.472222222222222E-3</v>
      </c>
      <c r="AG224" s="154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7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3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45797</v>
      </c>
      <c r="C225" s="39"/>
      <c r="Z225" s="154" t="str">
        <f t="shared" si="35"/>
        <v/>
      </c>
      <c r="AE225" s="172">
        <f t="shared" si="33"/>
        <v>3.472222222222222E-3</v>
      </c>
      <c r="AG225" s="154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7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3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45797</v>
      </c>
      <c r="B226" s="159"/>
      <c r="C226" s="39"/>
      <c r="Z226" s="154" t="str">
        <f t="shared" si="35"/>
        <v/>
      </c>
      <c r="AE226" s="172">
        <f t="shared" si="33"/>
        <v>3.472222222222222E-3</v>
      </c>
      <c r="AG226" s="154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7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3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45797</v>
      </c>
      <c r="C227" s="39"/>
      <c r="Z227" s="154" t="str">
        <f t="shared" si="35"/>
        <v/>
      </c>
      <c r="AE227" s="172">
        <f t="shared" si="33"/>
        <v>3.472222222222222E-3</v>
      </c>
      <c r="AG227" s="154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7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3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45797</v>
      </c>
      <c r="C228" s="39"/>
      <c r="Z228" s="154" t="str">
        <f t="shared" si="35"/>
        <v/>
      </c>
      <c r="AE228" s="172">
        <f t="shared" si="33"/>
        <v>3.472222222222222E-3</v>
      </c>
      <c r="AG228" s="154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7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3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45797</v>
      </c>
      <c r="C229" s="39"/>
      <c r="Z229" s="154" t="str">
        <f t="shared" si="35"/>
        <v/>
      </c>
      <c r="AE229" s="172">
        <f t="shared" si="33"/>
        <v>3.472222222222222E-3</v>
      </c>
      <c r="AG229" s="154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7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3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45797</v>
      </c>
      <c r="C230" s="39"/>
      <c r="Z230" s="154" t="str">
        <f t="shared" si="35"/>
        <v/>
      </c>
      <c r="AE230" s="172">
        <f t="shared" si="33"/>
        <v>3.472222222222222E-3</v>
      </c>
      <c r="AG230" s="154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7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3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45797</v>
      </c>
      <c r="C231" s="39"/>
      <c r="Z231" s="154" t="str">
        <f t="shared" si="35"/>
        <v/>
      </c>
      <c r="AE231" s="172">
        <f t="shared" si="33"/>
        <v>3.472222222222222E-3</v>
      </c>
      <c r="AG231" s="154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7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3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45797</v>
      </c>
      <c r="C232" s="39"/>
      <c r="Z232" s="154" t="str">
        <f t="shared" si="35"/>
        <v/>
      </c>
      <c r="AE232" s="172">
        <f t="shared" si="33"/>
        <v>3.472222222222222E-3</v>
      </c>
      <c r="AG232" s="154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7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3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45797</v>
      </c>
      <c r="C233" s="39"/>
      <c r="Z233" s="154" t="str">
        <f t="shared" si="35"/>
        <v/>
      </c>
      <c r="AE233" s="172">
        <f t="shared" si="33"/>
        <v>3.472222222222222E-3</v>
      </c>
      <c r="AG233" s="154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7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3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45797</v>
      </c>
      <c r="C234" s="39"/>
      <c r="Z234" s="154" t="str">
        <f t="shared" si="35"/>
        <v/>
      </c>
      <c r="AE234" s="172">
        <f t="shared" si="33"/>
        <v>3.472222222222222E-3</v>
      </c>
      <c r="AG234" s="154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7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3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45797</v>
      </c>
      <c r="C235" s="39"/>
      <c r="Z235" s="154" t="str">
        <f t="shared" si="35"/>
        <v/>
      </c>
      <c r="AE235" s="172">
        <f t="shared" si="33"/>
        <v>3.472222222222222E-3</v>
      </c>
      <c r="AG235" s="154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7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3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45797</v>
      </c>
      <c r="C236" s="39"/>
      <c r="Z236" s="154" t="str">
        <f t="shared" si="35"/>
        <v/>
      </c>
      <c r="AE236" s="172">
        <f t="shared" si="33"/>
        <v>3.472222222222222E-3</v>
      </c>
      <c r="AG236" s="154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7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3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45797</v>
      </c>
      <c r="C237" s="39"/>
      <c r="Z237" s="154" t="str">
        <f t="shared" si="35"/>
        <v/>
      </c>
      <c r="AE237" s="172">
        <f t="shared" si="33"/>
        <v>3.472222222222222E-3</v>
      </c>
      <c r="AG237" s="154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7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3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45797</v>
      </c>
      <c r="C238" s="39"/>
      <c r="Z238" s="154" t="str">
        <f t="shared" si="35"/>
        <v/>
      </c>
      <c r="AE238" s="172">
        <f t="shared" si="33"/>
        <v>3.472222222222222E-3</v>
      </c>
      <c r="AG238" s="154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7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3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45797</v>
      </c>
      <c r="C239" s="39"/>
      <c r="Z239" s="154" t="str">
        <f t="shared" si="35"/>
        <v/>
      </c>
      <c r="AE239" s="172">
        <f t="shared" si="33"/>
        <v>3.472222222222222E-3</v>
      </c>
      <c r="AG239" s="154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7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3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45797</v>
      </c>
      <c r="C240" s="39"/>
      <c r="Z240" s="154" t="str">
        <f t="shared" si="35"/>
        <v/>
      </c>
      <c r="AE240" s="172">
        <f t="shared" si="33"/>
        <v>3.472222222222222E-3</v>
      </c>
      <c r="AG240" s="154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7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3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45797</v>
      </c>
      <c r="C241" s="39"/>
      <c r="Z241" s="154" t="str">
        <f t="shared" si="35"/>
        <v/>
      </c>
      <c r="AE241" s="172">
        <f t="shared" si="33"/>
        <v>3.472222222222222E-3</v>
      </c>
      <c r="AG241" s="154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7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3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45797</v>
      </c>
      <c r="C242" s="39"/>
      <c r="Z242" s="154" t="str">
        <f t="shared" si="35"/>
        <v/>
      </c>
      <c r="AE242" s="172">
        <f t="shared" si="33"/>
        <v>3.472222222222222E-3</v>
      </c>
      <c r="AG242" s="154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7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3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45797</v>
      </c>
      <c r="C243" s="39"/>
      <c r="Z243" s="154" t="str">
        <f t="shared" si="35"/>
        <v/>
      </c>
      <c r="AE243" s="172">
        <f t="shared" si="33"/>
        <v>3.472222222222222E-3</v>
      </c>
      <c r="AG243" s="154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7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3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45797</v>
      </c>
      <c r="C244" s="39"/>
      <c r="Z244" s="154" t="str">
        <f t="shared" si="35"/>
        <v/>
      </c>
      <c r="AE244" s="172">
        <f t="shared" si="33"/>
        <v>3.472222222222222E-3</v>
      </c>
      <c r="AG244" s="154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7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3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45797</v>
      </c>
      <c r="C245" s="39"/>
      <c r="Z245" s="154" t="str">
        <f t="shared" si="35"/>
        <v/>
      </c>
      <c r="AE245" s="172">
        <f t="shared" si="33"/>
        <v>3.472222222222222E-3</v>
      </c>
      <c r="AG245" s="154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7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3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45797</v>
      </c>
      <c r="C246" s="39"/>
      <c r="Z246" s="154" t="str">
        <f t="shared" si="35"/>
        <v/>
      </c>
      <c r="AE246" s="172">
        <f t="shared" si="33"/>
        <v>3.472222222222222E-3</v>
      </c>
      <c r="AG246" s="154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7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3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45797</v>
      </c>
      <c r="C247" s="39"/>
      <c r="Z247" s="154" t="str">
        <f t="shared" si="35"/>
        <v/>
      </c>
      <c r="AE247" s="172">
        <f t="shared" si="33"/>
        <v>3.472222222222222E-3</v>
      </c>
      <c r="AG247" s="154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7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3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45797</v>
      </c>
      <c r="C248" s="39"/>
      <c r="Z248" s="154" t="str">
        <f t="shared" si="35"/>
        <v/>
      </c>
      <c r="AE248" s="172">
        <f t="shared" si="33"/>
        <v>3.472222222222222E-3</v>
      </c>
      <c r="AG248" s="154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7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3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45797</v>
      </c>
      <c r="C249" s="39"/>
      <c r="Z249" s="154" t="str">
        <f t="shared" si="35"/>
        <v/>
      </c>
      <c r="AE249" s="172">
        <f t="shared" si="33"/>
        <v>3.472222222222222E-3</v>
      </c>
      <c r="AG249" s="154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7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3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45797</v>
      </c>
      <c r="C250" s="39"/>
      <c r="Z250" s="154" t="str">
        <f t="shared" si="35"/>
        <v/>
      </c>
      <c r="AE250" s="172">
        <f t="shared" si="33"/>
        <v>3.472222222222222E-3</v>
      </c>
      <c r="AG250" s="154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7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3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45797</v>
      </c>
      <c r="C251" s="39"/>
      <c r="Z251" s="154" t="str">
        <f t="shared" si="35"/>
        <v/>
      </c>
      <c r="AE251" s="172">
        <f t="shared" si="33"/>
        <v>3.472222222222222E-3</v>
      </c>
      <c r="AG251" s="154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7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3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45797</v>
      </c>
      <c r="C252" s="39"/>
      <c r="Z252" s="154" t="str">
        <f t="shared" si="35"/>
        <v/>
      </c>
      <c r="AE252" s="172">
        <f t="shared" si="33"/>
        <v>3.472222222222222E-3</v>
      </c>
      <c r="AG252" s="154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7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3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45797</v>
      </c>
      <c r="C253" s="39"/>
      <c r="Z253" s="154" t="str">
        <f t="shared" si="35"/>
        <v/>
      </c>
      <c r="AE253" s="172">
        <f t="shared" si="33"/>
        <v>3.472222222222222E-3</v>
      </c>
      <c r="AG253" s="154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7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3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45797</v>
      </c>
      <c r="C254" s="39"/>
      <c r="Z254" s="154" t="str">
        <f t="shared" si="35"/>
        <v/>
      </c>
      <c r="AE254" s="172">
        <f t="shared" si="33"/>
        <v>3.472222222222222E-3</v>
      </c>
      <c r="AG254" s="154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7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3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45797</v>
      </c>
      <c r="C255" s="39"/>
      <c r="Z255" s="154" t="str">
        <f t="shared" si="35"/>
        <v/>
      </c>
      <c r="AE255" s="172">
        <f t="shared" si="33"/>
        <v>3.472222222222222E-3</v>
      </c>
      <c r="AG255" s="154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7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3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45797</v>
      </c>
      <c r="C256" s="39"/>
      <c r="Z256" s="154" t="str">
        <f t="shared" si="35"/>
        <v/>
      </c>
      <c r="AE256" s="172">
        <f t="shared" si="33"/>
        <v>3.472222222222222E-3</v>
      </c>
      <c r="AG256" s="154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7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3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45797</v>
      </c>
      <c r="C257" s="39"/>
      <c r="Z257" s="154" t="str">
        <f t="shared" si="35"/>
        <v/>
      </c>
      <c r="AE257" s="172">
        <f t="shared" si="33"/>
        <v>3.472222222222222E-3</v>
      </c>
      <c r="AG257" s="154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7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3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45797</v>
      </c>
      <c r="C258" s="39"/>
      <c r="Z258" s="154" t="str">
        <f t="shared" si="35"/>
        <v/>
      </c>
      <c r="AE258" s="172">
        <f t="shared" si="33"/>
        <v>3.472222222222222E-3</v>
      </c>
      <c r="AG258" s="154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7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3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45797</v>
      </c>
      <c r="C259" s="39"/>
      <c r="Z259" s="154" t="str">
        <f t="shared" si="35"/>
        <v/>
      </c>
      <c r="AE259" s="172">
        <f t="shared" si="33"/>
        <v>3.472222222222222E-3</v>
      </c>
      <c r="AG259" s="154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7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3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45797</v>
      </c>
      <c r="C260" s="39"/>
      <c r="Z260" s="154" t="str">
        <f t="shared" si="35"/>
        <v/>
      </c>
      <c r="AE260" s="172">
        <f t="shared" si="33"/>
        <v>3.472222222222222E-3</v>
      </c>
      <c r="AG260" s="154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7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3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45797</v>
      </c>
      <c r="C261" s="39"/>
      <c r="Z261" s="154" t="str">
        <f t="shared" si="35"/>
        <v/>
      </c>
      <c r="AE261" s="172">
        <f t="shared" ref="AE261:AE324" si="44">TIME(0,$K261+5,0)</f>
        <v>3.472222222222222E-3</v>
      </c>
      <c r="AG261" s="154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7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3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45797</v>
      </c>
      <c r="C262" s="39"/>
      <c r="Z262" s="154" t="str">
        <f t="shared" ref="Z262:Z325" si="46">IF(Y262="","",$Y262+TIME(0,5,0))</f>
        <v/>
      </c>
      <c r="AE262" s="172">
        <f t="shared" si="44"/>
        <v>3.472222222222222E-3</v>
      </c>
      <c r="AG262" s="154" t="str">
        <f t="shared" ref="AG262:AG325" si="47">IF(AF262="","",IF(D262="トラブル報告",AF262+TIME(0,45,0),SUM(AE262,AF262)))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7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3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45797</v>
      </c>
      <c r="C263" s="39"/>
      <c r="Z263" s="154" t="str">
        <f t="shared" si="46"/>
        <v/>
      </c>
      <c r="AE263" s="172">
        <f t="shared" si="44"/>
        <v>3.472222222222222E-3</v>
      </c>
      <c r="AG263" s="154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7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3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45797</v>
      </c>
      <c r="C264" s="39"/>
      <c r="Z264" s="154" t="str">
        <f t="shared" si="46"/>
        <v/>
      </c>
      <c r="AE264" s="172">
        <f t="shared" si="44"/>
        <v>3.472222222222222E-3</v>
      </c>
      <c r="AG264" s="154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7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3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45797</v>
      </c>
      <c r="C265" s="39"/>
      <c r="Z265" s="154" t="str">
        <f t="shared" si="46"/>
        <v/>
      </c>
      <c r="AE265" s="172">
        <f t="shared" si="44"/>
        <v>3.472222222222222E-3</v>
      </c>
      <c r="AG265" s="154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7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3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45797</v>
      </c>
      <c r="C266" s="39"/>
      <c r="Z266" s="154" t="str">
        <f t="shared" si="46"/>
        <v/>
      </c>
      <c r="AE266" s="172">
        <f t="shared" si="44"/>
        <v>3.472222222222222E-3</v>
      </c>
      <c r="AG266" s="154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7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3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45797</v>
      </c>
      <c r="C267" s="39"/>
      <c r="Z267" s="154" t="str">
        <f t="shared" si="46"/>
        <v/>
      </c>
      <c r="AE267" s="172">
        <f t="shared" si="44"/>
        <v>3.472222222222222E-3</v>
      </c>
      <c r="AG267" s="154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7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3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45797</v>
      </c>
      <c r="C268" s="39"/>
      <c r="Z268" s="154" t="str">
        <f t="shared" si="46"/>
        <v/>
      </c>
      <c r="AE268" s="172">
        <f t="shared" si="44"/>
        <v>3.472222222222222E-3</v>
      </c>
      <c r="AG268" s="154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7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3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45797</v>
      </c>
      <c r="C269" s="39"/>
      <c r="Z269" s="154" t="str">
        <f t="shared" si="46"/>
        <v/>
      </c>
      <c r="AE269" s="172">
        <f t="shared" si="44"/>
        <v>3.472222222222222E-3</v>
      </c>
      <c r="AG269" s="154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7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3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45797</v>
      </c>
      <c r="C270" s="39"/>
      <c r="Z270" s="154" t="str">
        <f t="shared" si="46"/>
        <v/>
      </c>
      <c r="AE270" s="172">
        <f t="shared" si="44"/>
        <v>3.472222222222222E-3</v>
      </c>
      <c r="AG270" s="154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7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3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45797</v>
      </c>
      <c r="C271" s="39"/>
      <c r="Z271" s="154" t="str">
        <f t="shared" si="46"/>
        <v/>
      </c>
      <c r="AE271" s="172">
        <f t="shared" si="44"/>
        <v>3.472222222222222E-3</v>
      </c>
      <c r="AG271" s="154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7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3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45797</v>
      </c>
      <c r="C272" s="39"/>
      <c r="Z272" s="154" t="str">
        <f t="shared" si="46"/>
        <v/>
      </c>
      <c r="AE272" s="172">
        <f t="shared" si="44"/>
        <v>3.472222222222222E-3</v>
      </c>
      <c r="AG272" s="154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7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3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45797</v>
      </c>
      <c r="C273" s="39"/>
      <c r="Z273" s="154" t="str">
        <f t="shared" si="46"/>
        <v/>
      </c>
      <c r="AE273" s="172">
        <f t="shared" si="44"/>
        <v>3.472222222222222E-3</v>
      </c>
      <c r="AG273" s="154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7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3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45797</v>
      </c>
      <c r="C274" s="39"/>
      <c r="Z274" s="154" t="str">
        <f t="shared" si="46"/>
        <v/>
      </c>
      <c r="AE274" s="172">
        <f t="shared" si="44"/>
        <v>3.472222222222222E-3</v>
      </c>
      <c r="AG274" s="154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7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3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45797</v>
      </c>
      <c r="C275" s="39"/>
      <c r="Z275" s="154" t="str">
        <f t="shared" si="46"/>
        <v/>
      </c>
      <c r="AE275" s="172">
        <f t="shared" si="44"/>
        <v>3.472222222222222E-3</v>
      </c>
      <c r="AG275" s="154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7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3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45797</v>
      </c>
      <c r="C276" s="39"/>
      <c r="Z276" s="154" t="str">
        <f t="shared" si="46"/>
        <v/>
      </c>
      <c r="AE276" s="172">
        <f t="shared" si="44"/>
        <v>3.472222222222222E-3</v>
      </c>
      <c r="AG276" s="154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7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3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45797</v>
      </c>
      <c r="C277" s="39"/>
      <c r="Z277" s="154" t="str">
        <f t="shared" si="46"/>
        <v/>
      </c>
      <c r="AE277" s="172">
        <f t="shared" si="44"/>
        <v>3.472222222222222E-3</v>
      </c>
      <c r="AG277" s="154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7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3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45797</v>
      </c>
      <c r="C278" s="39"/>
      <c r="Z278" s="154" t="str">
        <f t="shared" si="46"/>
        <v/>
      </c>
      <c r="AE278" s="172">
        <f t="shared" si="44"/>
        <v>3.472222222222222E-3</v>
      </c>
      <c r="AG278" s="154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7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3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45797</v>
      </c>
      <c r="C279" s="39"/>
      <c r="Z279" s="154" t="str">
        <f t="shared" si="46"/>
        <v/>
      </c>
      <c r="AE279" s="172">
        <f t="shared" si="44"/>
        <v>3.472222222222222E-3</v>
      </c>
      <c r="AG279" s="154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7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3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45797</v>
      </c>
      <c r="C280" s="39"/>
      <c r="Z280" s="154" t="str">
        <f t="shared" si="46"/>
        <v/>
      </c>
      <c r="AE280" s="172">
        <f t="shared" si="44"/>
        <v>3.472222222222222E-3</v>
      </c>
      <c r="AG280" s="154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7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3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45797</v>
      </c>
      <c r="C281" s="39"/>
      <c r="Z281" s="154" t="str">
        <f t="shared" si="46"/>
        <v/>
      </c>
      <c r="AE281" s="172">
        <f t="shared" si="44"/>
        <v>3.472222222222222E-3</v>
      </c>
      <c r="AG281" s="154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7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3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45797</v>
      </c>
      <c r="C282" s="39"/>
      <c r="Z282" s="154" t="str">
        <f t="shared" si="46"/>
        <v/>
      </c>
      <c r="AE282" s="172">
        <f t="shared" si="44"/>
        <v>3.472222222222222E-3</v>
      </c>
      <c r="AG282" s="154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7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3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45797</v>
      </c>
      <c r="C283" s="39"/>
      <c r="Z283" s="154" t="str">
        <f t="shared" si="46"/>
        <v/>
      </c>
      <c r="AE283" s="172">
        <f t="shared" si="44"/>
        <v>3.472222222222222E-3</v>
      </c>
      <c r="AG283" s="154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7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3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45797</v>
      </c>
      <c r="C284" s="39"/>
      <c r="Z284" s="154" t="str">
        <f t="shared" si="46"/>
        <v/>
      </c>
      <c r="AE284" s="172">
        <f t="shared" si="44"/>
        <v>3.472222222222222E-3</v>
      </c>
      <c r="AG284" s="154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7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3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45797</v>
      </c>
      <c r="C285" s="39"/>
      <c r="Z285" s="154" t="str">
        <f t="shared" si="46"/>
        <v/>
      </c>
      <c r="AE285" s="172">
        <f t="shared" si="44"/>
        <v>3.472222222222222E-3</v>
      </c>
      <c r="AG285" s="154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7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3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45797</v>
      </c>
      <c r="C286" s="39"/>
      <c r="Z286" s="154" t="str">
        <f t="shared" si="46"/>
        <v/>
      </c>
      <c r="AE286" s="172">
        <f t="shared" si="44"/>
        <v>3.472222222222222E-3</v>
      </c>
      <c r="AG286" s="154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7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3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45797</v>
      </c>
      <c r="C287" s="39"/>
      <c r="Z287" s="154" t="str">
        <f t="shared" si="46"/>
        <v/>
      </c>
      <c r="AE287" s="172">
        <f t="shared" si="44"/>
        <v>3.472222222222222E-3</v>
      </c>
      <c r="AG287" s="154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7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3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45797</v>
      </c>
      <c r="C288" s="39"/>
      <c r="Z288" s="154" t="str">
        <f t="shared" si="46"/>
        <v/>
      </c>
      <c r="AE288" s="172">
        <f t="shared" si="44"/>
        <v>3.472222222222222E-3</v>
      </c>
      <c r="AG288" s="154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7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3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45797</v>
      </c>
      <c r="C289" s="39"/>
      <c r="Z289" s="154" t="str">
        <f t="shared" si="46"/>
        <v/>
      </c>
      <c r="AE289" s="172">
        <f t="shared" si="44"/>
        <v>3.472222222222222E-3</v>
      </c>
      <c r="AG289" s="154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7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3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45797</v>
      </c>
      <c r="C290" s="39"/>
      <c r="Z290" s="154" t="str">
        <f t="shared" si="46"/>
        <v/>
      </c>
      <c r="AE290" s="172">
        <f t="shared" si="44"/>
        <v>3.472222222222222E-3</v>
      </c>
      <c r="AG290" s="154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7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3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45797</v>
      </c>
      <c r="C291" s="39"/>
      <c r="Z291" s="154" t="str">
        <f t="shared" si="46"/>
        <v/>
      </c>
      <c r="AE291" s="172">
        <f t="shared" si="44"/>
        <v>3.472222222222222E-3</v>
      </c>
      <c r="AG291" s="154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7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3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45797</v>
      </c>
      <c r="C292" s="39"/>
      <c r="Z292" s="154" t="str">
        <f t="shared" si="46"/>
        <v/>
      </c>
      <c r="AE292" s="172">
        <f t="shared" si="44"/>
        <v>3.472222222222222E-3</v>
      </c>
      <c r="AG292" s="154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7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3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45797</v>
      </c>
      <c r="C293" s="39"/>
      <c r="Z293" s="154" t="str">
        <f t="shared" si="46"/>
        <v/>
      </c>
      <c r="AE293" s="172">
        <f t="shared" si="44"/>
        <v>3.472222222222222E-3</v>
      </c>
      <c r="AG293" s="154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7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3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45797</v>
      </c>
      <c r="C294" s="39"/>
      <c r="Z294" s="154" t="str">
        <f t="shared" si="46"/>
        <v/>
      </c>
      <c r="AE294" s="172">
        <f t="shared" si="44"/>
        <v>3.472222222222222E-3</v>
      </c>
      <c r="AG294" s="154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7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3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45797</v>
      </c>
      <c r="C295" s="39"/>
      <c r="Z295" s="154" t="str">
        <f t="shared" si="46"/>
        <v/>
      </c>
      <c r="AE295" s="172">
        <f t="shared" si="44"/>
        <v>3.472222222222222E-3</v>
      </c>
      <c r="AG295" s="154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7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3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45797</v>
      </c>
      <c r="C296" s="39"/>
      <c r="Z296" s="154" t="str">
        <f t="shared" si="46"/>
        <v/>
      </c>
      <c r="AE296" s="172">
        <f t="shared" si="44"/>
        <v>3.472222222222222E-3</v>
      </c>
      <c r="AG296" s="154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7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3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45797</v>
      </c>
      <c r="C297" s="39"/>
      <c r="Z297" s="154" t="str">
        <f t="shared" si="46"/>
        <v/>
      </c>
      <c r="AE297" s="172">
        <f t="shared" si="44"/>
        <v>3.472222222222222E-3</v>
      </c>
      <c r="AG297" s="154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7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3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45797</v>
      </c>
      <c r="C298" s="39"/>
      <c r="Z298" s="154" t="str">
        <f t="shared" si="46"/>
        <v/>
      </c>
      <c r="AE298" s="172">
        <f t="shared" si="44"/>
        <v>3.472222222222222E-3</v>
      </c>
      <c r="AG298" s="154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7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3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45797</v>
      </c>
      <c r="C299" s="39"/>
      <c r="Z299" s="154" t="str">
        <f t="shared" si="46"/>
        <v/>
      </c>
      <c r="AE299" s="172">
        <f t="shared" si="44"/>
        <v>3.472222222222222E-3</v>
      </c>
      <c r="AG299" s="154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7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3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45797</v>
      </c>
      <c r="C300" s="39"/>
      <c r="Z300" s="154" t="str">
        <f t="shared" si="46"/>
        <v/>
      </c>
      <c r="AE300" s="172">
        <f t="shared" si="44"/>
        <v>3.472222222222222E-3</v>
      </c>
      <c r="AG300" s="154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7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3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45797</v>
      </c>
      <c r="C301" s="39"/>
      <c r="Z301" s="154" t="str">
        <f t="shared" si="46"/>
        <v/>
      </c>
      <c r="AE301" s="172">
        <f t="shared" si="44"/>
        <v>3.472222222222222E-3</v>
      </c>
      <c r="AG301" s="154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7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3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45797</v>
      </c>
      <c r="C302" s="39"/>
      <c r="Z302" s="154" t="str">
        <f t="shared" si="46"/>
        <v/>
      </c>
      <c r="AE302" s="172">
        <f t="shared" si="44"/>
        <v>3.472222222222222E-3</v>
      </c>
      <c r="AG302" s="154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7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3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45797</v>
      </c>
      <c r="C303" s="39"/>
      <c r="Z303" s="154" t="str">
        <f t="shared" si="46"/>
        <v/>
      </c>
      <c r="AE303" s="172">
        <f t="shared" si="44"/>
        <v>3.472222222222222E-3</v>
      </c>
      <c r="AG303" s="154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7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3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45797</v>
      </c>
      <c r="C304" s="39"/>
      <c r="Z304" s="154" t="str">
        <f t="shared" si="46"/>
        <v/>
      </c>
      <c r="AE304" s="172">
        <f t="shared" si="44"/>
        <v>3.472222222222222E-3</v>
      </c>
      <c r="AG304" s="154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7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3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45797</v>
      </c>
      <c r="C305" s="39"/>
      <c r="Z305" s="154" t="str">
        <f t="shared" si="46"/>
        <v/>
      </c>
      <c r="AE305" s="172">
        <f t="shared" si="44"/>
        <v>3.472222222222222E-3</v>
      </c>
      <c r="AG305" s="154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7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3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45797</v>
      </c>
      <c r="C306" s="39"/>
      <c r="Z306" s="154" t="str">
        <f t="shared" si="46"/>
        <v/>
      </c>
      <c r="AE306" s="172">
        <f t="shared" si="44"/>
        <v>3.472222222222222E-3</v>
      </c>
      <c r="AG306" s="154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7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3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45797</v>
      </c>
      <c r="C307" s="39"/>
      <c r="Z307" s="154" t="str">
        <f t="shared" si="46"/>
        <v/>
      </c>
      <c r="AE307" s="172">
        <f t="shared" si="44"/>
        <v>3.472222222222222E-3</v>
      </c>
      <c r="AG307" s="154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7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3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45797</v>
      </c>
      <c r="C308" s="39"/>
      <c r="Z308" s="154" t="str">
        <f t="shared" si="46"/>
        <v/>
      </c>
      <c r="AE308" s="172">
        <f t="shared" si="44"/>
        <v>3.472222222222222E-3</v>
      </c>
      <c r="AG308" s="154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7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3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45797</v>
      </c>
      <c r="C309" s="39"/>
      <c r="Z309" s="154" t="str">
        <f t="shared" si="46"/>
        <v/>
      </c>
      <c r="AE309" s="172">
        <f t="shared" si="44"/>
        <v>3.472222222222222E-3</v>
      </c>
      <c r="AG309" s="154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7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3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45797</v>
      </c>
      <c r="C310" s="39"/>
      <c r="Z310" s="154" t="str">
        <f t="shared" si="46"/>
        <v/>
      </c>
      <c r="AE310" s="172">
        <f t="shared" si="44"/>
        <v>3.472222222222222E-3</v>
      </c>
      <c r="AG310" s="154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7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3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45797</v>
      </c>
      <c r="C311" s="39"/>
      <c r="Z311" s="154" t="str">
        <f t="shared" si="46"/>
        <v/>
      </c>
      <c r="AE311" s="172">
        <f t="shared" si="44"/>
        <v>3.472222222222222E-3</v>
      </c>
      <c r="AG311" s="154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7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3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45797</v>
      </c>
      <c r="C312" s="39"/>
      <c r="Z312" s="154" t="str">
        <f t="shared" si="46"/>
        <v/>
      </c>
      <c r="AE312" s="172">
        <f t="shared" si="44"/>
        <v>3.472222222222222E-3</v>
      </c>
      <c r="AG312" s="154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7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3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45797</v>
      </c>
      <c r="C313" s="39"/>
      <c r="Z313" s="154" t="str">
        <f t="shared" si="46"/>
        <v/>
      </c>
      <c r="AE313" s="172">
        <f t="shared" si="44"/>
        <v>3.472222222222222E-3</v>
      </c>
      <c r="AG313" s="154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7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3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45797</v>
      </c>
      <c r="C314" s="39"/>
      <c r="Z314" s="154" t="str">
        <f t="shared" si="46"/>
        <v/>
      </c>
      <c r="AE314" s="172">
        <f t="shared" si="44"/>
        <v>3.472222222222222E-3</v>
      </c>
      <c r="AG314" s="154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7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3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45797</v>
      </c>
      <c r="C315" s="39"/>
      <c r="Z315" s="154" t="str">
        <f t="shared" si="46"/>
        <v/>
      </c>
      <c r="AE315" s="172">
        <f t="shared" si="44"/>
        <v>3.472222222222222E-3</v>
      </c>
      <c r="AG315" s="154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7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3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45797</v>
      </c>
      <c r="C316" s="39"/>
      <c r="Z316" s="154" t="str">
        <f t="shared" si="46"/>
        <v/>
      </c>
      <c r="AE316" s="172">
        <f t="shared" si="44"/>
        <v>3.472222222222222E-3</v>
      </c>
      <c r="AG316" s="154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7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3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45797</v>
      </c>
      <c r="C317" s="39"/>
      <c r="Z317" s="154" t="str">
        <f t="shared" si="46"/>
        <v/>
      </c>
      <c r="AE317" s="172">
        <f t="shared" si="44"/>
        <v>3.472222222222222E-3</v>
      </c>
      <c r="AG317" s="154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7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3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45797</v>
      </c>
      <c r="C318" s="39"/>
      <c r="Z318" s="154" t="str">
        <f t="shared" si="46"/>
        <v/>
      </c>
      <c r="AE318" s="172">
        <f t="shared" si="44"/>
        <v>3.472222222222222E-3</v>
      </c>
      <c r="AG318" s="154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7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3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45797</v>
      </c>
      <c r="C319" s="39"/>
      <c r="Z319" s="154" t="str">
        <f t="shared" si="46"/>
        <v/>
      </c>
      <c r="AE319" s="172">
        <f t="shared" si="44"/>
        <v>3.472222222222222E-3</v>
      </c>
      <c r="AG319" s="154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7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3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45797</v>
      </c>
      <c r="C320" s="39"/>
      <c r="Z320" s="154" t="str">
        <f t="shared" si="46"/>
        <v/>
      </c>
      <c r="AE320" s="172">
        <f t="shared" si="44"/>
        <v>3.472222222222222E-3</v>
      </c>
      <c r="AG320" s="154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7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3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45797</v>
      </c>
      <c r="C321" s="39"/>
      <c r="Z321" s="154" t="str">
        <f t="shared" si="46"/>
        <v/>
      </c>
      <c r="AE321" s="172">
        <f t="shared" si="44"/>
        <v>3.472222222222222E-3</v>
      </c>
      <c r="AG321" s="154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7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3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45797</v>
      </c>
      <c r="C322" s="39"/>
      <c r="Z322" s="154" t="str">
        <f t="shared" si="46"/>
        <v/>
      </c>
      <c r="AE322" s="172">
        <f t="shared" si="44"/>
        <v>3.472222222222222E-3</v>
      </c>
      <c r="AG322" s="154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7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3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45797</v>
      </c>
      <c r="C323" s="39"/>
      <c r="Z323" s="154" t="str">
        <f t="shared" si="46"/>
        <v/>
      </c>
      <c r="AE323" s="172">
        <f t="shared" si="44"/>
        <v>3.472222222222222E-3</v>
      </c>
      <c r="AG323" s="154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7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3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45797</v>
      </c>
      <c r="C324" s="39"/>
      <c r="Z324" s="154" t="str">
        <f t="shared" si="46"/>
        <v/>
      </c>
      <c r="AE324" s="172">
        <f t="shared" si="44"/>
        <v>3.472222222222222E-3</v>
      </c>
      <c r="AG324" s="154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7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3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45797</v>
      </c>
      <c r="C325" s="39"/>
      <c r="Z325" s="154" t="str">
        <f t="shared" si="46"/>
        <v/>
      </c>
      <c r="AE325" s="172">
        <f t="shared" ref="AE325:AE388" si="55">TIME(0,$K325+5,0)</f>
        <v>3.472222222222222E-3</v>
      </c>
      <c r="AG325" s="154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7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3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45797</v>
      </c>
      <c r="C326" s="39"/>
      <c r="Z326" s="154" t="str">
        <f t="shared" ref="Z326:Z389" si="57">IF(Y326="","",$Y326+TIME(0,5,0))</f>
        <v/>
      </c>
      <c r="AE326" s="172">
        <f t="shared" si="55"/>
        <v>3.472222222222222E-3</v>
      </c>
      <c r="AG326" s="154" t="str">
        <f t="shared" ref="AG326:AG389" si="58">IF(AF326="","",IF(D326="トラブル報告",AF326+TIME(0,45,0),SUM(AE326,AF326)))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7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3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45797</v>
      </c>
      <c r="C327" s="39"/>
      <c r="Z327" s="154" t="str">
        <f t="shared" si="57"/>
        <v/>
      </c>
      <c r="AE327" s="172">
        <f t="shared" si="55"/>
        <v>3.472222222222222E-3</v>
      </c>
      <c r="AG327" s="154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7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3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45797</v>
      </c>
      <c r="C328" s="39"/>
      <c r="Z328" s="154" t="str">
        <f t="shared" si="57"/>
        <v/>
      </c>
      <c r="AE328" s="172">
        <f t="shared" si="55"/>
        <v>3.472222222222222E-3</v>
      </c>
      <c r="AG328" s="154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7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3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45797</v>
      </c>
      <c r="C329" s="39"/>
      <c r="Z329" s="154" t="str">
        <f t="shared" si="57"/>
        <v/>
      </c>
      <c r="AE329" s="172">
        <f t="shared" si="55"/>
        <v>3.472222222222222E-3</v>
      </c>
      <c r="AG329" s="154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7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3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45797</v>
      </c>
      <c r="C330" s="39"/>
      <c r="Z330" s="154" t="str">
        <f t="shared" si="57"/>
        <v/>
      </c>
      <c r="AE330" s="172">
        <f t="shared" si="55"/>
        <v>3.472222222222222E-3</v>
      </c>
      <c r="AG330" s="154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7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3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45797</v>
      </c>
      <c r="C331" s="39"/>
      <c r="Z331" s="154" t="str">
        <f t="shared" si="57"/>
        <v/>
      </c>
      <c r="AE331" s="172">
        <f t="shared" si="55"/>
        <v>3.472222222222222E-3</v>
      </c>
      <c r="AG331" s="154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7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3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45797</v>
      </c>
      <c r="C332" s="39"/>
      <c r="Z332" s="154" t="str">
        <f t="shared" si="57"/>
        <v/>
      </c>
      <c r="AE332" s="172">
        <f t="shared" si="55"/>
        <v>3.472222222222222E-3</v>
      </c>
      <c r="AG332" s="154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7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3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45797</v>
      </c>
      <c r="C333" s="39"/>
      <c r="Z333" s="154" t="str">
        <f t="shared" si="57"/>
        <v/>
      </c>
      <c r="AE333" s="172">
        <f t="shared" si="55"/>
        <v>3.472222222222222E-3</v>
      </c>
      <c r="AG333" s="154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7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3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45797</v>
      </c>
      <c r="C334" s="39"/>
      <c r="Z334" s="154" t="str">
        <f t="shared" si="57"/>
        <v/>
      </c>
      <c r="AE334" s="172">
        <f t="shared" si="55"/>
        <v>3.472222222222222E-3</v>
      </c>
      <c r="AG334" s="154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7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3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45797</v>
      </c>
      <c r="C335" s="39"/>
      <c r="Z335" s="154" t="str">
        <f t="shared" si="57"/>
        <v/>
      </c>
      <c r="AE335" s="172">
        <f t="shared" si="55"/>
        <v>3.472222222222222E-3</v>
      </c>
      <c r="AG335" s="154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7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3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45797</v>
      </c>
      <c r="C336" s="39"/>
      <c r="Z336" s="154" t="str">
        <f t="shared" si="57"/>
        <v/>
      </c>
      <c r="AE336" s="172">
        <f t="shared" si="55"/>
        <v>3.472222222222222E-3</v>
      </c>
      <c r="AG336" s="154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7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3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45797</v>
      </c>
      <c r="C337" s="39"/>
      <c r="Z337" s="154" t="str">
        <f t="shared" si="57"/>
        <v/>
      </c>
      <c r="AE337" s="172">
        <f t="shared" si="55"/>
        <v>3.472222222222222E-3</v>
      </c>
      <c r="AG337" s="154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7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3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45797</v>
      </c>
      <c r="C338" s="39"/>
      <c r="Z338" s="154" t="str">
        <f t="shared" si="57"/>
        <v/>
      </c>
      <c r="AE338" s="172">
        <f t="shared" si="55"/>
        <v>3.472222222222222E-3</v>
      </c>
      <c r="AG338" s="154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7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3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45797</v>
      </c>
      <c r="C339" s="39"/>
      <c r="Z339" s="154" t="str">
        <f t="shared" si="57"/>
        <v/>
      </c>
      <c r="AE339" s="172">
        <f t="shared" si="55"/>
        <v>3.472222222222222E-3</v>
      </c>
      <c r="AG339" s="154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7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3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45797</v>
      </c>
      <c r="C340" s="39"/>
      <c r="Z340" s="154" t="str">
        <f t="shared" si="57"/>
        <v/>
      </c>
      <c r="AE340" s="172">
        <f t="shared" si="55"/>
        <v>3.472222222222222E-3</v>
      </c>
      <c r="AG340" s="154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7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3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45797</v>
      </c>
      <c r="C341" s="39"/>
      <c r="Z341" s="154" t="str">
        <f t="shared" si="57"/>
        <v/>
      </c>
      <c r="AE341" s="172">
        <f t="shared" si="55"/>
        <v>3.472222222222222E-3</v>
      </c>
      <c r="AG341" s="154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7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3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45797</v>
      </c>
      <c r="C342" s="39"/>
      <c r="Z342" s="154" t="str">
        <f t="shared" si="57"/>
        <v/>
      </c>
      <c r="AE342" s="172">
        <f t="shared" si="55"/>
        <v>3.472222222222222E-3</v>
      </c>
      <c r="AG342" s="154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7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3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45797</v>
      </c>
      <c r="C343" s="39"/>
      <c r="Z343" s="154" t="str">
        <f t="shared" si="57"/>
        <v/>
      </c>
      <c r="AE343" s="172">
        <f t="shared" si="55"/>
        <v>3.472222222222222E-3</v>
      </c>
      <c r="AG343" s="154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7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3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45797</v>
      </c>
      <c r="C344" s="39"/>
      <c r="Z344" s="154" t="str">
        <f t="shared" si="57"/>
        <v/>
      </c>
      <c r="AE344" s="172">
        <f t="shared" si="55"/>
        <v>3.472222222222222E-3</v>
      </c>
      <c r="AG344" s="154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7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3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45797</v>
      </c>
      <c r="C345" s="39"/>
      <c r="Z345" s="154" t="str">
        <f t="shared" si="57"/>
        <v/>
      </c>
      <c r="AE345" s="172">
        <f t="shared" si="55"/>
        <v>3.472222222222222E-3</v>
      </c>
      <c r="AG345" s="154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7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3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45797</v>
      </c>
      <c r="C346" s="39"/>
      <c r="Z346" s="154" t="str">
        <f t="shared" si="57"/>
        <v/>
      </c>
      <c r="AE346" s="172">
        <f t="shared" si="55"/>
        <v>3.472222222222222E-3</v>
      </c>
      <c r="AG346" s="154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7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3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45797</v>
      </c>
      <c r="C347" s="39"/>
      <c r="Z347" s="154" t="str">
        <f t="shared" si="57"/>
        <v/>
      </c>
      <c r="AE347" s="172">
        <f t="shared" si="55"/>
        <v>3.472222222222222E-3</v>
      </c>
      <c r="AG347" s="154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7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3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45797</v>
      </c>
      <c r="C348" s="39"/>
      <c r="Z348" s="154" t="str">
        <f t="shared" si="57"/>
        <v/>
      </c>
      <c r="AE348" s="172">
        <f t="shared" si="55"/>
        <v>3.472222222222222E-3</v>
      </c>
      <c r="AG348" s="154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7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3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45797</v>
      </c>
      <c r="C349" s="39"/>
      <c r="Z349" s="154" t="str">
        <f t="shared" si="57"/>
        <v/>
      </c>
      <c r="AE349" s="172">
        <f t="shared" si="55"/>
        <v>3.472222222222222E-3</v>
      </c>
      <c r="AG349" s="154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7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3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45797</v>
      </c>
      <c r="C350" s="39"/>
      <c r="Z350" s="154" t="str">
        <f t="shared" si="57"/>
        <v/>
      </c>
      <c r="AE350" s="172">
        <f t="shared" si="55"/>
        <v>3.472222222222222E-3</v>
      </c>
      <c r="AG350" s="154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7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3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45797</v>
      </c>
      <c r="C351" s="39"/>
      <c r="Z351" s="154" t="str">
        <f t="shared" si="57"/>
        <v/>
      </c>
      <c r="AE351" s="172">
        <f t="shared" si="55"/>
        <v>3.472222222222222E-3</v>
      </c>
      <c r="AG351" s="154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7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3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45797</v>
      </c>
      <c r="C352" s="39"/>
      <c r="Z352" s="154" t="str">
        <f t="shared" si="57"/>
        <v/>
      </c>
      <c r="AE352" s="172">
        <f t="shared" si="55"/>
        <v>3.472222222222222E-3</v>
      </c>
      <c r="AG352" s="154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7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3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45797</v>
      </c>
      <c r="C353" s="39"/>
      <c r="Z353" s="154" t="str">
        <f t="shared" si="57"/>
        <v/>
      </c>
      <c r="AE353" s="172">
        <f t="shared" si="55"/>
        <v>3.472222222222222E-3</v>
      </c>
      <c r="AG353" s="154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7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3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45797</v>
      </c>
      <c r="C354" s="39"/>
      <c r="Z354" s="154" t="str">
        <f t="shared" si="57"/>
        <v/>
      </c>
      <c r="AE354" s="172">
        <f t="shared" si="55"/>
        <v>3.472222222222222E-3</v>
      </c>
      <c r="AG354" s="154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7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3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45797</v>
      </c>
      <c r="C355" s="39"/>
      <c r="Z355" s="154" t="str">
        <f t="shared" si="57"/>
        <v/>
      </c>
      <c r="AE355" s="172">
        <f t="shared" si="55"/>
        <v>3.472222222222222E-3</v>
      </c>
      <c r="AG355" s="154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7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3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45797</v>
      </c>
      <c r="C356" s="39"/>
      <c r="Z356" s="154" t="str">
        <f t="shared" si="57"/>
        <v/>
      </c>
      <c r="AE356" s="172">
        <f t="shared" si="55"/>
        <v>3.472222222222222E-3</v>
      </c>
      <c r="AG356" s="154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7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3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45797</v>
      </c>
      <c r="C357" s="39"/>
      <c r="Z357" s="154" t="str">
        <f t="shared" si="57"/>
        <v/>
      </c>
      <c r="AE357" s="172">
        <f t="shared" si="55"/>
        <v>3.472222222222222E-3</v>
      </c>
      <c r="AG357" s="154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7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3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45797</v>
      </c>
      <c r="C358" s="39"/>
      <c r="Z358" s="154" t="str">
        <f t="shared" si="57"/>
        <v/>
      </c>
      <c r="AE358" s="172">
        <f t="shared" si="55"/>
        <v>3.472222222222222E-3</v>
      </c>
      <c r="AG358" s="154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7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3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45797</v>
      </c>
      <c r="C359" s="39"/>
      <c r="Z359" s="154" t="str">
        <f t="shared" si="57"/>
        <v/>
      </c>
      <c r="AE359" s="172">
        <f t="shared" si="55"/>
        <v>3.472222222222222E-3</v>
      </c>
      <c r="AG359" s="154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7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3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45797</v>
      </c>
      <c r="C360" s="39"/>
      <c r="Z360" s="154" t="str">
        <f t="shared" si="57"/>
        <v/>
      </c>
      <c r="AE360" s="172">
        <f t="shared" si="55"/>
        <v>3.472222222222222E-3</v>
      </c>
      <c r="AG360" s="154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7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3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45797</v>
      </c>
      <c r="C361" s="39"/>
      <c r="Z361" s="154" t="str">
        <f t="shared" si="57"/>
        <v/>
      </c>
      <c r="AE361" s="172">
        <f t="shared" si="55"/>
        <v>3.472222222222222E-3</v>
      </c>
      <c r="AG361" s="154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7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3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45797</v>
      </c>
      <c r="C362" s="39"/>
      <c r="Z362" s="154" t="str">
        <f t="shared" si="57"/>
        <v/>
      </c>
      <c r="AE362" s="172">
        <f t="shared" si="55"/>
        <v>3.472222222222222E-3</v>
      </c>
      <c r="AG362" s="154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7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3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45797</v>
      </c>
      <c r="C363" s="39"/>
      <c r="Z363" s="154" t="str">
        <f t="shared" si="57"/>
        <v/>
      </c>
      <c r="AE363" s="172">
        <f t="shared" si="55"/>
        <v>3.472222222222222E-3</v>
      </c>
      <c r="AG363" s="154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7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3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45797</v>
      </c>
      <c r="C364" s="39"/>
      <c r="Z364" s="154" t="str">
        <f t="shared" si="57"/>
        <v/>
      </c>
      <c r="AE364" s="172">
        <f t="shared" si="55"/>
        <v>3.472222222222222E-3</v>
      </c>
      <c r="AG364" s="154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7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3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45797</v>
      </c>
      <c r="C365" s="39"/>
      <c r="Z365" s="154" t="str">
        <f t="shared" si="57"/>
        <v/>
      </c>
      <c r="AE365" s="172">
        <f t="shared" si="55"/>
        <v>3.472222222222222E-3</v>
      </c>
      <c r="AG365" s="154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7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3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45797</v>
      </c>
      <c r="C366" s="39"/>
      <c r="Z366" s="154" t="str">
        <f t="shared" si="57"/>
        <v/>
      </c>
      <c r="AE366" s="172">
        <f t="shared" si="55"/>
        <v>3.472222222222222E-3</v>
      </c>
      <c r="AG366" s="154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7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3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45797</v>
      </c>
      <c r="C367" s="39"/>
      <c r="Z367" s="154" t="str">
        <f t="shared" si="57"/>
        <v/>
      </c>
      <c r="AE367" s="172">
        <f t="shared" si="55"/>
        <v>3.472222222222222E-3</v>
      </c>
      <c r="AG367" s="154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7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3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45797</v>
      </c>
      <c r="C368" s="39"/>
      <c r="Z368" s="154" t="str">
        <f t="shared" si="57"/>
        <v/>
      </c>
      <c r="AE368" s="172">
        <f t="shared" si="55"/>
        <v>3.472222222222222E-3</v>
      </c>
      <c r="AG368" s="154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7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3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45797</v>
      </c>
      <c r="C369" s="39"/>
      <c r="Z369" s="154" t="str">
        <f t="shared" si="57"/>
        <v/>
      </c>
      <c r="AE369" s="172">
        <f t="shared" si="55"/>
        <v>3.472222222222222E-3</v>
      </c>
      <c r="AG369" s="154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7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3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45797</v>
      </c>
      <c r="C370" s="39"/>
      <c r="Z370" s="154" t="str">
        <f t="shared" si="57"/>
        <v/>
      </c>
      <c r="AE370" s="172">
        <f t="shared" si="55"/>
        <v>3.472222222222222E-3</v>
      </c>
      <c r="AG370" s="154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7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3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45797</v>
      </c>
      <c r="C371" s="39"/>
      <c r="Z371" s="154" t="str">
        <f t="shared" si="57"/>
        <v/>
      </c>
      <c r="AE371" s="172">
        <f t="shared" si="55"/>
        <v>3.472222222222222E-3</v>
      </c>
      <c r="AG371" s="154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7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3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45797</v>
      </c>
      <c r="C372" s="39"/>
      <c r="Z372" s="154" t="str">
        <f t="shared" si="57"/>
        <v/>
      </c>
      <c r="AE372" s="172">
        <f t="shared" si="55"/>
        <v>3.472222222222222E-3</v>
      </c>
      <c r="AG372" s="154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7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3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45797</v>
      </c>
      <c r="C373" s="39"/>
      <c r="Z373" s="154" t="str">
        <f t="shared" si="57"/>
        <v/>
      </c>
      <c r="AE373" s="172">
        <f t="shared" si="55"/>
        <v>3.472222222222222E-3</v>
      </c>
      <c r="AG373" s="154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7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3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45797</v>
      </c>
      <c r="C374" s="39"/>
      <c r="Z374" s="154" t="str">
        <f t="shared" si="57"/>
        <v/>
      </c>
      <c r="AE374" s="172">
        <f t="shared" si="55"/>
        <v>3.472222222222222E-3</v>
      </c>
      <c r="AG374" s="154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7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3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45797</v>
      </c>
      <c r="C375" s="39"/>
      <c r="Z375" s="154" t="str">
        <f t="shared" si="57"/>
        <v/>
      </c>
      <c r="AE375" s="172">
        <f t="shared" si="55"/>
        <v>3.472222222222222E-3</v>
      </c>
      <c r="AG375" s="154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7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3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45797</v>
      </c>
      <c r="C376" s="39"/>
      <c r="Z376" s="154" t="str">
        <f t="shared" si="57"/>
        <v/>
      </c>
      <c r="AE376" s="172">
        <f t="shared" si="55"/>
        <v>3.472222222222222E-3</v>
      </c>
      <c r="AG376" s="154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7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3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45797</v>
      </c>
      <c r="C377" s="39"/>
      <c r="Z377" s="154" t="str">
        <f t="shared" si="57"/>
        <v/>
      </c>
      <c r="AE377" s="172">
        <f t="shared" si="55"/>
        <v>3.472222222222222E-3</v>
      </c>
      <c r="AG377" s="154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7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3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45797</v>
      </c>
      <c r="C378" s="39"/>
      <c r="Z378" s="154" t="str">
        <f t="shared" si="57"/>
        <v/>
      </c>
      <c r="AE378" s="172">
        <f t="shared" si="55"/>
        <v>3.472222222222222E-3</v>
      </c>
      <c r="AG378" s="154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7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3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45797</v>
      </c>
      <c r="C379" s="39"/>
      <c r="Z379" s="154" t="str">
        <f t="shared" si="57"/>
        <v/>
      </c>
      <c r="AE379" s="172">
        <f t="shared" si="55"/>
        <v>3.472222222222222E-3</v>
      </c>
      <c r="AG379" s="154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7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3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45797</v>
      </c>
      <c r="C380" s="39"/>
      <c r="Z380" s="154" t="str">
        <f t="shared" si="57"/>
        <v/>
      </c>
      <c r="AE380" s="172">
        <f t="shared" si="55"/>
        <v>3.472222222222222E-3</v>
      </c>
      <c r="AG380" s="154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7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3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45797</v>
      </c>
      <c r="C381" s="39"/>
      <c r="Z381" s="154" t="str">
        <f t="shared" si="57"/>
        <v/>
      </c>
      <c r="AE381" s="172">
        <f t="shared" si="55"/>
        <v>3.472222222222222E-3</v>
      </c>
      <c r="AG381" s="154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7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3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45797</v>
      </c>
      <c r="C382" s="39"/>
      <c r="Z382" s="154" t="str">
        <f t="shared" si="57"/>
        <v/>
      </c>
      <c r="AE382" s="172">
        <f t="shared" si="55"/>
        <v>3.472222222222222E-3</v>
      </c>
      <c r="AG382" s="154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7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3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45797</v>
      </c>
      <c r="C383" s="39"/>
      <c r="Z383" s="154" t="str">
        <f t="shared" si="57"/>
        <v/>
      </c>
      <c r="AE383" s="172">
        <f t="shared" si="55"/>
        <v>3.472222222222222E-3</v>
      </c>
      <c r="AG383" s="154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7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3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45797</v>
      </c>
      <c r="C384" s="39"/>
      <c r="Z384" s="154" t="str">
        <f t="shared" si="57"/>
        <v/>
      </c>
      <c r="AE384" s="172">
        <f t="shared" si="55"/>
        <v>3.472222222222222E-3</v>
      </c>
      <c r="AG384" s="154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7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3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45797</v>
      </c>
      <c r="C385" s="39"/>
      <c r="Z385" s="154" t="str">
        <f t="shared" si="57"/>
        <v/>
      </c>
      <c r="AE385" s="172">
        <f t="shared" si="55"/>
        <v>3.472222222222222E-3</v>
      </c>
      <c r="AG385" s="154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7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3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45797</v>
      </c>
      <c r="C386" s="39"/>
      <c r="Z386" s="154" t="str">
        <f t="shared" si="57"/>
        <v/>
      </c>
      <c r="AE386" s="172">
        <f t="shared" si="55"/>
        <v>3.472222222222222E-3</v>
      </c>
      <c r="AG386" s="154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7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3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45797</v>
      </c>
      <c r="C387" s="39"/>
      <c r="Z387" s="154" t="str">
        <f t="shared" si="57"/>
        <v/>
      </c>
      <c r="AE387" s="172">
        <f t="shared" si="55"/>
        <v>3.472222222222222E-3</v>
      </c>
      <c r="AG387" s="154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7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3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45797</v>
      </c>
      <c r="C388" s="39"/>
      <c r="Z388" s="154" t="str">
        <f t="shared" si="57"/>
        <v/>
      </c>
      <c r="AE388" s="172">
        <f t="shared" si="55"/>
        <v>3.472222222222222E-3</v>
      </c>
      <c r="AG388" s="154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7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3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45797</v>
      </c>
      <c r="C389" s="39"/>
      <c r="Z389" s="154" t="str">
        <f t="shared" si="57"/>
        <v/>
      </c>
      <c r="AE389" s="172">
        <f t="shared" ref="AE389:AE452" si="66">TIME(0,$K389+5,0)</f>
        <v>3.472222222222222E-3</v>
      </c>
      <c r="AG389" s="154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7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3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53" si="67">A389</f>
        <v>45797</v>
      </c>
      <c r="C390" s="39"/>
      <c r="Z390" s="154" t="str">
        <f t="shared" ref="Z390:Z453" si="68">IF(Y390="","",$Y390+TIME(0,5,0))</f>
        <v/>
      </c>
      <c r="AE390" s="172">
        <f t="shared" si="66"/>
        <v>3.472222222222222E-3</v>
      </c>
      <c r="AG390" s="154" t="str">
        <f t="shared" ref="AG390:AG453" si="69">IF(AF390="","",IF(D390="トラブル報告",AF390+TIME(0,45,0),SUM(AE390,AF390)))</f>
        <v/>
      </c>
      <c r="AK390" t="e">
        <f t="shared" ref="AK390:AK453" ca="1" si="70">VLOOKUP($B390,INDIRECT($AK$4&amp;"!$Z$3:$AB$17"),3,FALSE)</f>
        <v>#N/A</v>
      </c>
      <c r="AL390" t="str">
        <f t="shared" ref="AL390:AL453" ca="1" si="71">IFERROR(AK390,"")</f>
        <v/>
      </c>
      <c r="AM390" t="str">
        <f t="shared" ref="AM390:AM453" si="72">IF(L390&lt;&gt;"",L390&amp;A390,"")</f>
        <v/>
      </c>
      <c r="AN390" s="172">
        <f t="shared" ref="AN390:AN453" si="73">AF390</f>
        <v>0</v>
      </c>
      <c r="AO390">
        <f t="shared" ref="AO390:AO453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53" ca="1" si="75">IFERROR(IF(A390=TODAY(),VLOOKUP($L390,INDIRECT($AK$4&amp;"!AK:AM"),3,FALSE),""),"")</f>
        <v/>
      </c>
      <c r="AQ390" t="str">
        <f t="shared" ref="AQ390:AQ453" ca="1" si="76">IFERROR(IF(A390=TODAY(),VLOOKUP($I390,INDIRECT($AK$4&amp;"!AK:AM"),3,FALSE),""),"")</f>
        <v/>
      </c>
      <c r="AR390" s="33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45797</v>
      </c>
      <c r="C391" s="39"/>
      <c r="Z391" s="154" t="str">
        <f t="shared" si="68"/>
        <v/>
      </c>
      <c r="AE391" s="172">
        <f t="shared" si="66"/>
        <v>3.472222222222222E-3</v>
      </c>
      <c r="AG391" s="154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7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3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45797</v>
      </c>
      <c r="C392" s="39"/>
      <c r="Z392" s="154" t="str">
        <f t="shared" si="68"/>
        <v/>
      </c>
      <c r="AE392" s="172">
        <f t="shared" si="66"/>
        <v>3.472222222222222E-3</v>
      </c>
      <c r="AG392" s="154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7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3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45797</v>
      </c>
      <c r="C393" s="39"/>
      <c r="Z393" s="154" t="str">
        <f t="shared" si="68"/>
        <v/>
      </c>
      <c r="AE393" s="172">
        <f t="shared" si="66"/>
        <v>3.472222222222222E-3</v>
      </c>
      <c r="AG393" s="154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7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3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45797</v>
      </c>
      <c r="C394" s="39"/>
      <c r="Z394" s="154" t="str">
        <f t="shared" si="68"/>
        <v/>
      </c>
      <c r="AE394" s="172">
        <f t="shared" si="66"/>
        <v>3.472222222222222E-3</v>
      </c>
      <c r="AG394" s="154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7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3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45797</v>
      </c>
      <c r="C395" s="39"/>
      <c r="Z395" s="154" t="str">
        <f t="shared" si="68"/>
        <v/>
      </c>
      <c r="AE395" s="172">
        <f t="shared" si="66"/>
        <v>3.472222222222222E-3</v>
      </c>
      <c r="AG395" s="154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7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3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45797</v>
      </c>
      <c r="C396" s="39"/>
      <c r="Z396" s="154" t="str">
        <f t="shared" si="68"/>
        <v/>
      </c>
      <c r="AE396" s="172">
        <f t="shared" si="66"/>
        <v>3.472222222222222E-3</v>
      </c>
      <c r="AG396" s="154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7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3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45797</v>
      </c>
      <c r="C397" s="39"/>
      <c r="Z397" s="154" t="str">
        <f t="shared" si="68"/>
        <v/>
      </c>
      <c r="AE397" s="172">
        <f t="shared" si="66"/>
        <v>3.472222222222222E-3</v>
      </c>
      <c r="AG397" s="154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7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3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45797</v>
      </c>
      <c r="C398" s="39"/>
      <c r="Z398" s="154" t="str">
        <f t="shared" si="68"/>
        <v/>
      </c>
      <c r="AE398" s="172">
        <f t="shared" si="66"/>
        <v>3.472222222222222E-3</v>
      </c>
      <c r="AG398" s="154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7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3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45797</v>
      </c>
      <c r="C399" s="39"/>
      <c r="Z399" s="154" t="str">
        <f t="shared" si="68"/>
        <v/>
      </c>
      <c r="AE399" s="172">
        <f t="shared" si="66"/>
        <v>3.472222222222222E-3</v>
      </c>
      <c r="AG399" s="154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7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3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45797</v>
      </c>
      <c r="C400" s="39"/>
      <c r="Z400" s="154" t="str">
        <f t="shared" si="68"/>
        <v/>
      </c>
      <c r="AE400" s="172">
        <f t="shared" si="66"/>
        <v>3.472222222222222E-3</v>
      </c>
      <c r="AG400" s="154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7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3" t="str" cm="1">
        <f t="array" aca="1" ref="AR400" ca="1">IF(A400=INDIRECT($AK$4&amp;"!$A$3"),IF(I400&lt;&gt;"",I400&amp;A400,""),"")</f>
        <v/>
      </c>
    </row>
    <row r="401" spans="1:44" ht="20.100000000000001" customHeight="1">
      <c r="A401" s="11">
        <f t="shared" si="67"/>
        <v>45797</v>
      </c>
      <c r="C401" s="39"/>
      <c r="Z401" s="154" t="str">
        <f t="shared" si="68"/>
        <v/>
      </c>
      <c r="AE401" s="172">
        <f t="shared" si="66"/>
        <v>3.472222222222222E-3</v>
      </c>
      <c r="AG401" s="154" t="str">
        <f t="shared" si="69"/>
        <v/>
      </c>
      <c r="AK401" t="e">
        <f t="shared" ca="1" si="70"/>
        <v>#N/A</v>
      </c>
      <c r="AL401" t="str">
        <f t="shared" ca="1" si="71"/>
        <v/>
      </c>
      <c r="AM401" t="str">
        <f t="shared" si="72"/>
        <v/>
      </c>
      <c r="AN401" s="172">
        <f t="shared" si="73"/>
        <v>0</v>
      </c>
      <c r="AO401">
        <f t="shared" si="74"/>
        <v>0</v>
      </c>
      <c r="AP401" t="str">
        <f t="shared" ca="1" si="75"/>
        <v/>
      </c>
      <c r="AQ401" t="str">
        <f t="shared" ca="1" si="76"/>
        <v/>
      </c>
      <c r="AR401" s="33" t="str" cm="1">
        <f t="array" aca="1" ref="AR401" ca="1">IF(A401=INDIRECT($AK$4&amp;"!$A$3"),IF(I401&lt;&gt;"",I401&amp;A401,""),"")</f>
        <v/>
      </c>
    </row>
    <row r="402" spans="1:44" ht="20.100000000000001" customHeight="1">
      <c r="A402" s="11">
        <f t="shared" si="67"/>
        <v>45797</v>
      </c>
      <c r="C402" s="39"/>
      <c r="Z402" s="154" t="str">
        <f t="shared" si="68"/>
        <v/>
      </c>
      <c r="AE402" s="172">
        <f t="shared" si="66"/>
        <v>3.472222222222222E-3</v>
      </c>
      <c r="AG402" s="154" t="str">
        <f t="shared" si="69"/>
        <v/>
      </c>
      <c r="AK402" t="e">
        <f t="shared" ca="1" si="70"/>
        <v>#N/A</v>
      </c>
      <c r="AL402" t="str">
        <f t="shared" ca="1" si="71"/>
        <v/>
      </c>
      <c r="AM402" t="str">
        <f t="shared" si="72"/>
        <v/>
      </c>
      <c r="AN402" s="172">
        <f t="shared" si="73"/>
        <v>0</v>
      </c>
      <c r="AO402">
        <f t="shared" si="74"/>
        <v>0</v>
      </c>
      <c r="AP402" t="str">
        <f t="shared" ca="1" si="75"/>
        <v/>
      </c>
      <c r="AQ402" t="str">
        <f t="shared" ca="1" si="76"/>
        <v/>
      </c>
      <c r="AR402" s="33" t="str" cm="1">
        <f t="array" aca="1" ref="AR402" ca="1">IF(A402=INDIRECT($AK$4&amp;"!$A$3"),IF(I402&lt;&gt;"",I402&amp;A402,""),"")</f>
        <v/>
      </c>
    </row>
    <row r="403" spans="1:44" ht="20.100000000000001" customHeight="1">
      <c r="A403" s="11">
        <f t="shared" si="67"/>
        <v>45797</v>
      </c>
      <c r="C403" s="39"/>
      <c r="Z403" s="154" t="str">
        <f t="shared" si="68"/>
        <v/>
      </c>
      <c r="AE403" s="172">
        <f t="shared" si="66"/>
        <v>3.472222222222222E-3</v>
      </c>
      <c r="AG403" s="154" t="str">
        <f t="shared" si="69"/>
        <v/>
      </c>
      <c r="AK403" t="e">
        <f t="shared" ca="1" si="70"/>
        <v>#N/A</v>
      </c>
      <c r="AL403" t="str">
        <f t="shared" ca="1" si="71"/>
        <v/>
      </c>
      <c r="AM403" t="str">
        <f t="shared" si="72"/>
        <v/>
      </c>
      <c r="AN403" s="172">
        <f t="shared" si="73"/>
        <v>0</v>
      </c>
      <c r="AO403">
        <f t="shared" si="74"/>
        <v>0</v>
      </c>
      <c r="AP403" t="str">
        <f t="shared" ca="1" si="75"/>
        <v/>
      </c>
      <c r="AQ403" t="str">
        <f t="shared" ca="1" si="76"/>
        <v/>
      </c>
      <c r="AR403" s="33" t="str" cm="1">
        <f t="array" aca="1" ref="AR403" ca="1">IF(A403=INDIRECT($AK$4&amp;"!$A$3"),IF(I403&lt;&gt;"",I403&amp;A403,""),"")</f>
        <v/>
      </c>
    </row>
    <row r="404" spans="1:44" ht="20.100000000000001" customHeight="1">
      <c r="A404" s="11">
        <f t="shared" si="67"/>
        <v>45797</v>
      </c>
      <c r="C404" s="39"/>
      <c r="Z404" s="154" t="str">
        <f t="shared" si="68"/>
        <v/>
      </c>
      <c r="AE404" s="172">
        <f t="shared" si="66"/>
        <v>3.472222222222222E-3</v>
      </c>
      <c r="AG404" s="154" t="str">
        <f t="shared" si="69"/>
        <v/>
      </c>
      <c r="AK404" t="e">
        <f t="shared" ca="1" si="70"/>
        <v>#N/A</v>
      </c>
      <c r="AL404" t="str">
        <f t="shared" ca="1" si="71"/>
        <v/>
      </c>
      <c r="AM404" t="str">
        <f t="shared" si="72"/>
        <v/>
      </c>
      <c r="AN404" s="172">
        <f t="shared" si="73"/>
        <v>0</v>
      </c>
      <c r="AO404">
        <f t="shared" si="74"/>
        <v>0</v>
      </c>
      <c r="AP404" t="str">
        <f t="shared" ca="1" si="75"/>
        <v/>
      </c>
      <c r="AQ404" t="str">
        <f t="shared" ca="1" si="76"/>
        <v/>
      </c>
      <c r="AR404" s="33" t="str" cm="1">
        <f t="array" aca="1" ref="AR404" ca="1">IF(A404=INDIRECT($AK$4&amp;"!$A$3"),IF(I404&lt;&gt;"",I404&amp;A404,""),"")</f>
        <v/>
      </c>
    </row>
    <row r="405" spans="1:44" ht="20.100000000000001" customHeight="1">
      <c r="A405" s="11">
        <f t="shared" si="67"/>
        <v>45797</v>
      </c>
      <c r="C405" s="39"/>
      <c r="Z405" s="154" t="str">
        <f t="shared" si="68"/>
        <v/>
      </c>
      <c r="AE405" s="172">
        <f t="shared" si="66"/>
        <v>3.472222222222222E-3</v>
      </c>
      <c r="AG405" s="154" t="str">
        <f t="shared" si="69"/>
        <v/>
      </c>
      <c r="AK405" t="e">
        <f t="shared" ca="1" si="70"/>
        <v>#N/A</v>
      </c>
      <c r="AL405" t="str">
        <f t="shared" ca="1" si="71"/>
        <v/>
      </c>
      <c r="AM405" t="str">
        <f t="shared" si="72"/>
        <v/>
      </c>
      <c r="AN405" s="172">
        <f t="shared" si="73"/>
        <v>0</v>
      </c>
      <c r="AO405">
        <f t="shared" si="74"/>
        <v>0</v>
      </c>
      <c r="AP405" t="str">
        <f t="shared" ca="1" si="75"/>
        <v/>
      </c>
      <c r="AQ405" t="str">
        <f t="shared" ca="1" si="76"/>
        <v/>
      </c>
      <c r="AR405" s="33" t="str" cm="1">
        <f t="array" aca="1" ref="AR405" ca="1">IF(A405=INDIRECT($AK$4&amp;"!$A$3"),IF(I405&lt;&gt;"",I405&amp;A405,""),"")</f>
        <v/>
      </c>
    </row>
    <row r="406" spans="1:44" ht="20.100000000000001" customHeight="1">
      <c r="A406" s="11">
        <f t="shared" si="67"/>
        <v>45797</v>
      </c>
      <c r="C406" s="39"/>
      <c r="Z406" s="154" t="str">
        <f t="shared" si="68"/>
        <v/>
      </c>
      <c r="AE406" s="172">
        <f t="shared" si="66"/>
        <v>3.472222222222222E-3</v>
      </c>
      <c r="AG406" s="154" t="str">
        <f t="shared" si="69"/>
        <v/>
      </c>
      <c r="AK406" t="e">
        <f t="shared" ca="1" si="70"/>
        <v>#N/A</v>
      </c>
      <c r="AL406" t="str">
        <f t="shared" ca="1" si="71"/>
        <v/>
      </c>
      <c r="AM406" t="str">
        <f t="shared" si="72"/>
        <v/>
      </c>
      <c r="AN406" s="172">
        <f t="shared" si="73"/>
        <v>0</v>
      </c>
      <c r="AO406">
        <f t="shared" si="74"/>
        <v>0</v>
      </c>
      <c r="AP406" t="str">
        <f t="shared" ca="1" si="75"/>
        <v/>
      </c>
      <c r="AQ406" t="str">
        <f t="shared" ca="1" si="76"/>
        <v/>
      </c>
      <c r="AR406" s="33" t="str" cm="1">
        <f t="array" aca="1" ref="AR406" ca="1">IF(A406=INDIRECT($AK$4&amp;"!$A$3"),IF(I406&lt;&gt;"",I406&amp;A406,""),"")</f>
        <v/>
      </c>
    </row>
    <row r="407" spans="1:44" ht="20.100000000000001" customHeight="1">
      <c r="A407" s="11">
        <f t="shared" si="67"/>
        <v>45797</v>
      </c>
      <c r="C407" s="39"/>
      <c r="Z407" s="154" t="str">
        <f t="shared" si="68"/>
        <v/>
      </c>
      <c r="AE407" s="172">
        <f t="shared" si="66"/>
        <v>3.472222222222222E-3</v>
      </c>
      <c r="AG407" s="154" t="str">
        <f t="shared" si="69"/>
        <v/>
      </c>
      <c r="AK407" t="e">
        <f t="shared" ca="1" si="70"/>
        <v>#N/A</v>
      </c>
      <c r="AL407" t="str">
        <f t="shared" ca="1" si="71"/>
        <v/>
      </c>
      <c r="AM407" t="str">
        <f t="shared" si="72"/>
        <v/>
      </c>
      <c r="AN407" s="172">
        <f t="shared" si="73"/>
        <v>0</v>
      </c>
      <c r="AO407">
        <f t="shared" si="74"/>
        <v>0</v>
      </c>
      <c r="AP407" t="str">
        <f t="shared" ca="1" si="75"/>
        <v/>
      </c>
      <c r="AQ407" t="str">
        <f t="shared" ca="1" si="76"/>
        <v/>
      </c>
      <c r="AR407" s="33" t="str" cm="1">
        <f t="array" aca="1" ref="AR407" ca="1">IF(A407=INDIRECT($AK$4&amp;"!$A$3"),IF(I407&lt;&gt;"",I407&amp;A407,""),"")</f>
        <v/>
      </c>
    </row>
    <row r="408" spans="1:44" ht="20.100000000000001" customHeight="1">
      <c r="A408" s="11">
        <f t="shared" si="67"/>
        <v>45797</v>
      </c>
      <c r="C408" s="39"/>
      <c r="Z408" s="154" t="str">
        <f t="shared" si="68"/>
        <v/>
      </c>
      <c r="AE408" s="172">
        <f t="shared" si="66"/>
        <v>3.472222222222222E-3</v>
      </c>
      <c r="AG408" s="154" t="str">
        <f t="shared" si="69"/>
        <v/>
      </c>
      <c r="AK408" t="e">
        <f t="shared" ca="1" si="70"/>
        <v>#N/A</v>
      </c>
      <c r="AL408" t="str">
        <f t="shared" ca="1" si="71"/>
        <v/>
      </c>
      <c r="AM408" t="str">
        <f t="shared" si="72"/>
        <v/>
      </c>
      <c r="AN408" s="172">
        <f t="shared" si="73"/>
        <v>0</v>
      </c>
      <c r="AO408">
        <f t="shared" si="74"/>
        <v>0</v>
      </c>
      <c r="AP408" t="str">
        <f t="shared" ca="1" si="75"/>
        <v/>
      </c>
      <c r="AQ408" t="str">
        <f t="shared" ca="1" si="76"/>
        <v/>
      </c>
      <c r="AR408" s="33" t="str" cm="1">
        <f t="array" aca="1" ref="AR408" ca="1">IF(A408=INDIRECT($AK$4&amp;"!$A$3"),IF(I408&lt;&gt;"",I408&amp;A408,""),"")</f>
        <v/>
      </c>
    </row>
    <row r="409" spans="1:44" ht="20.100000000000001" customHeight="1">
      <c r="A409" s="11">
        <f t="shared" si="67"/>
        <v>45797</v>
      </c>
      <c r="C409" s="39"/>
      <c r="Z409" s="154" t="str">
        <f t="shared" si="68"/>
        <v/>
      </c>
      <c r="AE409" s="172">
        <f t="shared" si="66"/>
        <v>3.472222222222222E-3</v>
      </c>
      <c r="AG409" s="154" t="str">
        <f t="shared" si="69"/>
        <v/>
      </c>
      <c r="AK409" t="e">
        <f t="shared" ca="1" si="70"/>
        <v>#N/A</v>
      </c>
      <c r="AL409" t="str">
        <f t="shared" ca="1" si="71"/>
        <v/>
      </c>
      <c r="AM409" t="str">
        <f t="shared" si="72"/>
        <v/>
      </c>
      <c r="AN409" s="172">
        <f t="shared" si="73"/>
        <v>0</v>
      </c>
      <c r="AO409">
        <f t="shared" si="74"/>
        <v>0</v>
      </c>
      <c r="AP409" t="str">
        <f t="shared" ca="1" si="75"/>
        <v/>
      </c>
      <c r="AQ409" t="str">
        <f t="shared" ca="1" si="76"/>
        <v/>
      </c>
      <c r="AR409" s="33" t="str" cm="1">
        <f t="array" aca="1" ref="AR409" ca="1">IF(A409=INDIRECT($AK$4&amp;"!$A$3"),IF(I409&lt;&gt;"",I409&amp;A409,""),"")</f>
        <v/>
      </c>
    </row>
    <row r="410" spans="1:44" ht="20.100000000000001" customHeight="1">
      <c r="A410" s="11">
        <f t="shared" si="67"/>
        <v>45797</v>
      </c>
      <c r="C410" s="39"/>
      <c r="Z410" s="154" t="str">
        <f t="shared" si="68"/>
        <v/>
      </c>
      <c r="AE410" s="172">
        <f t="shared" si="66"/>
        <v>3.472222222222222E-3</v>
      </c>
      <c r="AG410" s="154" t="str">
        <f t="shared" si="69"/>
        <v/>
      </c>
      <c r="AK410" t="e">
        <f t="shared" ca="1" si="70"/>
        <v>#N/A</v>
      </c>
      <c r="AL410" t="str">
        <f t="shared" ca="1" si="71"/>
        <v/>
      </c>
      <c r="AM410" t="str">
        <f t="shared" si="72"/>
        <v/>
      </c>
      <c r="AN410" s="172">
        <f t="shared" si="73"/>
        <v>0</v>
      </c>
      <c r="AO410">
        <f t="shared" si="74"/>
        <v>0</v>
      </c>
      <c r="AP410" t="str">
        <f t="shared" ca="1" si="75"/>
        <v/>
      </c>
      <c r="AQ410" t="str">
        <f t="shared" ca="1" si="76"/>
        <v/>
      </c>
      <c r="AR410" s="33" t="str" cm="1">
        <f t="array" aca="1" ref="AR410" ca="1">IF(A410=INDIRECT($AK$4&amp;"!$A$3"),IF(I410&lt;&gt;"",I410&amp;A410,""),"")</f>
        <v/>
      </c>
    </row>
    <row r="411" spans="1:44" ht="20.100000000000001" customHeight="1">
      <c r="A411" s="11">
        <f t="shared" si="67"/>
        <v>45797</v>
      </c>
      <c r="C411" s="39"/>
      <c r="Z411" s="154" t="str">
        <f t="shared" si="68"/>
        <v/>
      </c>
      <c r="AE411" s="172">
        <f t="shared" si="66"/>
        <v>3.472222222222222E-3</v>
      </c>
      <c r="AG411" s="154" t="str">
        <f t="shared" si="69"/>
        <v/>
      </c>
      <c r="AK411" t="e">
        <f t="shared" ca="1" si="70"/>
        <v>#N/A</v>
      </c>
      <c r="AL411" t="str">
        <f t="shared" ca="1" si="71"/>
        <v/>
      </c>
      <c r="AM411" t="str">
        <f t="shared" si="72"/>
        <v/>
      </c>
      <c r="AN411" s="172">
        <f t="shared" si="73"/>
        <v>0</v>
      </c>
      <c r="AO411">
        <f t="shared" si="74"/>
        <v>0</v>
      </c>
      <c r="AP411" t="str">
        <f t="shared" ca="1" si="75"/>
        <v/>
      </c>
      <c r="AQ411" t="str">
        <f t="shared" ca="1" si="76"/>
        <v/>
      </c>
      <c r="AR411" s="33" t="str" cm="1">
        <f t="array" aca="1" ref="AR411" ca="1">IF(A411=INDIRECT($AK$4&amp;"!$A$3"),IF(I411&lt;&gt;"",I411&amp;A411,""),"")</f>
        <v/>
      </c>
    </row>
    <row r="412" spans="1:44" ht="20.100000000000001" customHeight="1">
      <c r="A412" s="11">
        <f t="shared" si="67"/>
        <v>45797</v>
      </c>
      <c r="C412" s="39"/>
      <c r="Z412" s="154" t="str">
        <f t="shared" si="68"/>
        <v/>
      </c>
      <c r="AE412" s="172">
        <f t="shared" si="66"/>
        <v>3.472222222222222E-3</v>
      </c>
      <c r="AG412" s="154" t="str">
        <f t="shared" si="69"/>
        <v/>
      </c>
      <c r="AK412" t="e">
        <f t="shared" ca="1" si="70"/>
        <v>#N/A</v>
      </c>
      <c r="AL412" t="str">
        <f t="shared" ca="1" si="71"/>
        <v/>
      </c>
      <c r="AM412" t="str">
        <f t="shared" si="72"/>
        <v/>
      </c>
      <c r="AN412" s="172">
        <f t="shared" si="73"/>
        <v>0</v>
      </c>
      <c r="AO412">
        <f t="shared" si="74"/>
        <v>0</v>
      </c>
      <c r="AP412" t="str">
        <f t="shared" ca="1" si="75"/>
        <v/>
      </c>
      <c r="AQ412" t="str">
        <f t="shared" ca="1" si="76"/>
        <v/>
      </c>
      <c r="AR412" s="33" t="str" cm="1">
        <f t="array" aca="1" ref="AR412" ca="1">IF(A412=INDIRECT($AK$4&amp;"!$A$3"),IF(I412&lt;&gt;"",I412&amp;A412,""),"")</f>
        <v/>
      </c>
    </row>
    <row r="413" spans="1:44" ht="20.100000000000001" customHeight="1">
      <c r="A413" s="11">
        <f t="shared" si="67"/>
        <v>45797</v>
      </c>
      <c r="C413" s="39"/>
      <c r="Z413" s="154" t="str">
        <f t="shared" si="68"/>
        <v/>
      </c>
      <c r="AE413" s="172">
        <f t="shared" si="66"/>
        <v>3.472222222222222E-3</v>
      </c>
      <c r="AG413" s="154" t="str">
        <f t="shared" si="69"/>
        <v/>
      </c>
      <c r="AK413" t="e">
        <f t="shared" ca="1" si="70"/>
        <v>#N/A</v>
      </c>
      <c r="AL413" t="str">
        <f t="shared" ca="1" si="71"/>
        <v/>
      </c>
      <c r="AM413" t="str">
        <f t="shared" si="72"/>
        <v/>
      </c>
      <c r="AN413" s="172">
        <f t="shared" si="73"/>
        <v>0</v>
      </c>
      <c r="AO413">
        <f t="shared" si="74"/>
        <v>0</v>
      </c>
      <c r="AP413" t="str">
        <f t="shared" ca="1" si="75"/>
        <v/>
      </c>
      <c r="AQ413" t="str">
        <f t="shared" ca="1" si="76"/>
        <v/>
      </c>
      <c r="AR413" s="33" t="str" cm="1">
        <f t="array" aca="1" ref="AR413" ca="1">IF(A413=INDIRECT($AK$4&amp;"!$A$3"),IF(I413&lt;&gt;"",I413&amp;A413,""),"")</f>
        <v/>
      </c>
    </row>
    <row r="414" spans="1:44" ht="20.100000000000001" customHeight="1">
      <c r="A414" s="11">
        <f t="shared" si="67"/>
        <v>45797</v>
      </c>
      <c r="C414" s="39"/>
      <c r="Z414" s="154" t="str">
        <f t="shared" si="68"/>
        <v/>
      </c>
      <c r="AE414" s="172">
        <f t="shared" si="66"/>
        <v>3.472222222222222E-3</v>
      </c>
      <c r="AG414" s="154" t="str">
        <f t="shared" si="69"/>
        <v/>
      </c>
      <c r="AK414" t="e">
        <f t="shared" ca="1" si="70"/>
        <v>#N/A</v>
      </c>
      <c r="AL414" t="str">
        <f t="shared" ca="1" si="71"/>
        <v/>
      </c>
      <c r="AM414" t="str">
        <f t="shared" si="72"/>
        <v/>
      </c>
      <c r="AN414" s="172">
        <f t="shared" si="73"/>
        <v>0</v>
      </c>
      <c r="AO414">
        <f t="shared" si="74"/>
        <v>0</v>
      </c>
      <c r="AP414" t="str">
        <f t="shared" ca="1" si="75"/>
        <v/>
      </c>
      <c r="AQ414" t="str">
        <f t="shared" ca="1" si="76"/>
        <v/>
      </c>
      <c r="AR414" s="33" t="str" cm="1">
        <f t="array" aca="1" ref="AR414" ca="1">IF(A414=INDIRECT($AK$4&amp;"!$A$3"),IF(I414&lt;&gt;"",I414&amp;A414,""),"")</f>
        <v/>
      </c>
    </row>
    <row r="415" spans="1:44" ht="20.100000000000001" customHeight="1">
      <c r="A415" s="11">
        <f t="shared" si="67"/>
        <v>45797</v>
      </c>
      <c r="C415" s="39"/>
      <c r="Z415" s="154" t="str">
        <f t="shared" si="68"/>
        <v/>
      </c>
      <c r="AE415" s="172">
        <f t="shared" si="66"/>
        <v>3.472222222222222E-3</v>
      </c>
      <c r="AG415" s="154" t="str">
        <f t="shared" si="69"/>
        <v/>
      </c>
      <c r="AK415" t="e">
        <f t="shared" ca="1" si="70"/>
        <v>#N/A</v>
      </c>
      <c r="AL415" t="str">
        <f t="shared" ca="1" si="71"/>
        <v/>
      </c>
      <c r="AM415" t="str">
        <f t="shared" si="72"/>
        <v/>
      </c>
      <c r="AN415" s="172">
        <f t="shared" si="73"/>
        <v>0</v>
      </c>
      <c r="AO415">
        <f t="shared" si="74"/>
        <v>0</v>
      </c>
      <c r="AP415" t="str">
        <f t="shared" ca="1" si="75"/>
        <v/>
      </c>
      <c r="AQ415" t="str">
        <f t="shared" ca="1" si="76"/>
        <v/>
      </c>
      <c r="AR415" s="33" t="str" cm="1">
        <f t="array" aca="1" ref="AR415" ca="1">IF(A415=INDIRECT($AK$4&amp;"!$A$3"),IF(I415&lt;&gt;"",I415&amp;A415,""),"")</f>
        <v/>
      </c>
    </row>
    <row r="416" spans="1:44" ht="20.100000000000001" customHeight="1">
      <c r="A416" s="11">
        <f t="shared" si="67"/>
        <v>45797</v>
      </c>
      <c r="C416" s="39"/>
      <c r="Z416" s="154" t="str">
        <f t="shared" si="68"/>
        <v/>
      </c>
      <c r="AE416" s="172">
        <f t="shared" si="66"/>
        <v>3.472222222222222E-3</v>
      </c>
      <c r="AG416" s="154" t="str">
        <f t="shared" si="69"/>
        <v/>
      </c>
      <c r="AK416" t="e">
        <f t="shared" ca="1" si="70"/>
        <v>#N/A</v>
      </c>
      <c r="AL416" t="str">
        <f t="shared" ca="1" si="71"/>
        <v/>
      </c>
      <c r="AM416" t="str">
        <f t="shared" si="72"/>
        <v/>
      </c>
      <c r="AN416" s="172">
        <f t="shared" si="73"/>
        <v>0</v>
      </c>
      <c r="AO416">
        <f t="shared" si="74"/>
        <v>0</v>
      </c>
      <c r="AP416" t="str">
        <f t="shared" ca="1" si="75"/>
        <v/>
      </c>
      <c r="AQ416" t="str">
        <f t="shared" ca="1" si="76"/>
        <v/>
      </c>
      <c r="AR416" s="33" t="str" cm="1">
        <f t="array" aca="1" ref="AR416" ca="1">IF(A416=INDIRECT($AK$4&amp;"!$A$3"),IF(I416&lt;&gt;"",I416&amp;A416,""),"")</f>
        <v/>
      </c>
    </row>
    <row r="417" spans="1:44" ht="20.100000000000001" customHeight="1">
      <c r="A417" s="11">
        <f t="shared" si="67"/>
        <v>45797</v>
      </c>
      <c r="C417" s="39"/>
      <c r="Z417" s="154" t="str">
        <f t="shared" si="68"/>
        <v/>
      </c>
      <c r="AE417" s="172">
        <f t="shared" si="66"/>
        <v>3.472222222222222E-3</v>
      </c>
      <c r="AG417" s="154" t="str">
        <f t="shared" si="69"/>
        <v/>
      </c>
      <c r="AK417" t="e">
        <f t="shared" ca="1" si="70"/>
        <v>#N/A</v>
      </c>
      <c r="AL417" t="str">
        <f t="shared" ca="1" si="71"/>
        <v/>
      </c>
      <c r="AM417" t="str">
        <f t="shared" si="72"/>
        <v/>
      </c>
      <c r="AN417" s="172">
        <f t="shared" si="73"/>
        <v>0</v>
      </c>
      <c r="AO417">
        <f t="shared" si="74"/>
        <v>0</v>
      </c>
      <c r="AP417" t="str">
        <f t="shared" ca="1" si="75"/>
        <v/>
      </c>
      <c r="AQ417" t="str">
        <f t="shared" ca="1" si="76"/>
        <v/>
      </c>
      <c r="AR417" s="33" t="str" cm="1">
        <f t="array" aca="1" ref="AR417" ca="1">IF(A417=INDIRECT($AK$4&amp;"!$A$3"),IF(I417&lt;&gt;"",I417&amp;A417,""),"")</f>
        <v/>
      </c>
    </row>
    <row r="418" spans="1:44" ht="20.100000000000001" customHeight="1">
      <c r="A418" s="11">
        <f t="shared" si="67"/>
        <v>45797</v>
      </c>
      <c r="C418" s="39"/>
      <c r="Z418" s="154" t="str">
        <f t="shared" si="68"/>
        <v/>
      </c>
      <c r="AE418" s="172">
        <f t="shared" si="66"/>
        <v>3.472222222222222E-3</v>
      </c>
      <c r="AG418" s="154" t="str">
        <f t="shared" si="69"/>
        <v/>
      </c>
      <c r="AK418" t="e">
        <f t="shared" ca="1" si="70"/>
        <v>#N/A</v>
      </c>
      <c r="AL418" t="str">
        <f t="shared" ca="1" si="71"/>
        <v/>
      </c>
      <c r="AM418" t="str">
        <f t="shared" si="72"/>
        <v/>
      </c>
      <c r="AN418" s="172">
        <f t="shared" si="73"/>
        <v>0</v>
      </c>
      <c r="AO418">
        <f t="shared" si="74"/>
        <v>0</v>
      </c>
      <c r="AP418" t="str">
        <f t="shared" ca="1" si="75"/>
        <v/>
      </c>
      <c r="AQ418" t="str">
        <f t="shared" ca="1" si="76"/>
        <v/>
      </c>
      <c r="AR418" s="33" t="str" cm="1">
        <f t="array" aca="1" ref="AR418" ca="1">IF(A418=INDIRECT($AK$4&amp;"!$A$3"),IF(I418&lt;&gt;"",I418&amp;A418,""),"")</f>
        <v/>
      </c>
    </row>
    <row r="419" spans="1:44" ht="20.100000000000001" customHeight="1">
      <c r="A419" s="11">
        <f t="shared" si="67"/>
        <v>45797</v>
      </c>
      <c r="C419" s="39"/>
      <c r="Z419" s="154" t="str">
        <f t="shared" si="68"/>
        <v/>
      </c>
      <c r="AE419" s="172">
        <f t="shared" si="66"/>
        <v>3.472222222222222E-3</v>
      </c>
      <c r="AG419" s="154" t="str">
        <f t="shared" si="69"/>
        <v/>
      </c>
      <c r="AK419" t="e">
        <f t="shared" ca="1" si="70"/>
        <v>#N/A</v>
      </c>
      <c r="AL419" t="str">
        <f t="shared" ca="1" si="71"/>
        <v/>
      </c>
      <c r="AM419" t="str">
        <f t="shared" si="72"/>
        <v/>
      </c>
      <c r="AN419" s="172">
        <f t="shared" si="73"/>
        <v>0</v>
      </c>
      <c r="AO419">
        <f t="shared" si="74"/>
        <v>0</v>
      </c>
      <c r="AP419" t="str">
        <f t="shared" ca="1" si="75"/>
        <v/>
      </c>
      <c r="AQ419" t="str">
        <f t="shared" ca="1" si="76"/>
        <v/>
      </c>
      <c r="AR419" s="33" t="str" cm="1">
        <f t="array" aca="1" ref="AR419" ca="1">IF(A419=INDIRECT($AK$4&amp;"!$A$3"),IF(I419&lt;&gt;"",I419&amp;A419,""),"")</f>
        <v/>
      </c>
    </row>
    <row r="420" spans="1:44" ht="20.100000000000001" customHeight="1">
      <c r="A420" s="11">
        <f t="shared" si="67"/>
        <v>45797</v>
      </c>
      <c r="C420" s="39"/>
      <c r="Z420" s="154" t="str">
        <f t="shared" si="68"/>
        <v/>
      </c>
      <c r="AE420" s="172">
        <f t="shared" si="66"/>
        <v>3.472222222222222E-3</v>
      </c>
      <c r="AG420" s="154" t="str">
        <f t="shared" si="69"/>
        <v/>
      </c>
      <c r="AK420" t="e">
        <f t="shared" ca="1" si="70"/>
        <v>#N/A</v>
      </c>
      <c r="AL420" t="str">
        <f t="shared" ca="1" si="71"/>
        <v/>
      </c>
      <c r="AM420" t="str">
        <f t="shared" si="72"/>
        <v/>
      </c>
      <c r="AN420" s="172">
        <f t="shared" si="73"/>
        <v>0</v>
      </c>
      <c r="AO420">
        <f t="shared" si="74"/>
        <v>0</v>
      </c>
      <c r="AP420" t="str">
        <f t="shared" ca="1" si="75"/>
        <v/>
      </c>
      <c r="AQ420" t="str">
        <f t="shared" ca="1" si="76"/>
        <v/>
      </c>
      <c r="AR420" s="33" t="str" cm="1">
        <f t="array" aca="1" ref="AR420" ca="1">IF(A420=INDIRECT($AK$4&amp;"!$A$3"),IF(I420&lt;&gt;"",I420&amp;A420,""),"")</f>
        <v/>
      </c>
    </row>
    <row r="421" spans="1:44" ht="20.100000000000001" customHeight="1">
      <c r="A421" s="11">
        <f t="shared" si="67"/>
        <v>45797</v>
      </c>
      <c r="C421" s="39"/>
      <c r="Z421" s="154" t="str">
        <f t="shared" si="68"/>
        <v/>
      </c>
      <c r="AE421" s="172">
        <f t="shared" si="66"/>
        <v>3.472222222222222E-3</v>
      </c>
      <c r="AG421" s="154" t="str">
        <f t="shared" si="69"/>
        <v/>
      </c>
      <c r="AK421" t="e">
        <f t="shared" ca="1" si="70"/>
        <v>#N/A</v>
      </c>
      <c r="AL421" t="str">
        <f t="shared" ca="1" si="71"/>
        <v/>
      </c>
      <c r="AM421" t="str">
        <f t="shared" si="72"/>
        <v/>
      </c>
      <c r="AN421" s="172">
        <f t="shared" si="73"/>
        <v>0</v>
      </c>
      <c r="AO421">
        <f t="shared" si="74"/>
        <v>0</v>
      </c>
      <c r="AP421" t="str">
        <f t="shared" ca="1" si="75"/>
        <v/>
      </c>
      <c r="AQ421" t="str">
        <f t="shared" ca="1" si="76"/>
        <v/>
      </c>
      <c r="AR421" s="33" t="str" cm="1">
        <f t="array" aca="1" ref="AR421" ca="1">IF(A421=INDIRECT($AK$4&amp;"!$A$3"),IF(I421&lt;&gt;"",I421&amp;A421,""),"")</f>
        <v/>
      </c>
    </row>
    <row r="422" spans="1:44" ht="20.100000000000001" customHeight="1">
      <c r="A422" s="11">
        <f t="shared" si="67"/>
        <v>45797</v>
      </c>
      <c r="C422" s="39"/>
      <c r="Z422" s="154" t="str">
        <f t="shared" si="68"/>
        <v/>
      </c>
      <c r="AE422" s="172">
        <f t="shared" si="66"/>
        <v>3.472222222222222E-3</v>
      </c>
      <c r="AG422" s="154" t="str">
        <f t="shared" si="69"/>
        <v/>
      </c>
      <c r="AK422" t="e">
        <f t="shared" ca="1" si="70"/>
        <v>#N/A</v>
      </c>
      <c r="AL422" t="str">
        <f t="shared" ca="1" si="71"/>
        <v/>
      </c>
      <c r="AM422" t="str">
        <f t="shared" si="72"/>
        <v/>
      </c>
      <c r="AN422" s="172">
        <f t="shared" si="73"/>
        <v>0</v>
      </c>
      <c r="AO422">
        <f t="shared" si="74"/>
        <v>0</v>
      </c>
      <c r="AP422" t="str">
        <f t="shared" ca="1" si="75"/>
        <v/>
      </c>
      <c r="AQ422" t="str">
        <f t="shared" ca="1" si="76"/>
        <v/>
      </c>
      <c r="AR422" s="33" t="str" cm="1">
        <f t="array" aca="1" ref="AR422" ca="1">IF(A422=INDIRECT($AK$4&amp;"!$A$3"),IF(I422&lt;&gt;"",I422&amp;A422,""),"")</f>
        <v/>
      </c>
    </row>
    <row r="423" spans="1:44" ht="20.100000000000001" customHeight="1">
      <c r="A423" s="11">
        <f t="shared" si="67"/>
        <v>45797</v>
      </c>
      <c r="C423" s="39"/>
      <c r="Z423" s="154" t="str">
        <f t="shared" si="68"/>
        <v/>
      </c>
      <c r="AE423" s="172">
        <f t="shared" si="66"/>
        <v>3.472222222222222E-3</v>
      </c>
      <c r="AG423" s="154" t="str">
        <f t="shared" si="69"/>
        <v/>
      </c>
      <c r="AK423" t="e">
        <f t="shared" ca="1" si="70"/>
        <v>#N/A</v>
      </c>
      <c r="AL423" t="str">
        <f t="shared" ca="1" si="71"/>
        <v/>
      </c>
      <c r="AM423" t="str">
        <f t="shared" si="72"/>
        <v/>
      </c>
      <c r="AN423" s="172">
        <f t="shared" si="73"/>
        <v>0</v>
      </c>
      <c r="AO423">
        <f t="shared" si="74"/>
        <v>0</v>
      </c>
      <c r="AP423" t="str">
        <f t="shared" ca="1" si="75"/>
        <v/>
      </c>
      <c r="AQ423" t="str">
        <f t="shared" ca="1" si="76"/>
        <v/>
      </c>
      <c r="AR423" s="33" t="str" cm="1">
        <f t="array" aca="1" ref="AR423" ca="1">IF(A423=INDIRECT($AK$4&amp;"!$A$3"),IF(I423&lt;&gt;"",I423&amp;A423,""),"")</f>
        <v/>
      </c>
    </row>
    <row r="424" spans="1:44" ht="20.100000000000001" customHeight="1">
      <c r="A424" s="11">
        <f t="shared" si="67"/>
        <v>45797</v>
      </c>
      <c r="C424" s="39"/>
      <c r="Z424" s="154" t="str">
        <f t="shared" si="68"/>
        <v/>
      </c>
      <c r="AE424" s="172">
        <f t="shared" si="66"/>
        <v>3.472222222222222E-3</v>
      </c>
      <c r="AG424" s="154" t="str">
        <f t="shared" si="69"/>
        <v/>
      </c>
      <c r="AK424" t="e">
        <f t="shared" ca="1" si="70"/>
        <v>#N/A</v>
      </c>
      <c r="AL424" t="str">
        <f t="shared" ca="1" si="71"/>
        <v/>
      </c>
      <c r="AM424" t="str">
        <f t="shared" si="72"/>
        <v/>
      </c>
      <c r="AN424" s="172">
        <f t="shared" si="73"/>
        <v>0</v>
      </c>
      <c r="AO424">
        <f t="shared" si="74"/>
        <v>0</v>
      </c>
      <c r="AP424" t="str">
        <f t="shared" ca="1" si="75"/>
        <v/>
      </c>
      <c r="AQ424" t="str">
        <f t="shared" ca="1" si="76"/>
        <v/>
      </c>
      <c r="AR424" s="33" t="str" cm="1">
        <f t="array" aca="1" ref="AR424" ca="1">IF(A424=INDIRECT($AK$4&amp;"!$A$3"),IF(I424&lt;&gt;"",I424&amp;A424,""),"")</f>
        <v/>
      </c>
    </row>
    <row r="425" spans="1:44" ht="20.100000000000001" customHeight="1">
      <c r="A425" s="11">
        <f t="shared" si="67"/>
        <v>45797</v>
      </c>
      <c r="C425" s="39"/>
      <c r="Z425" s="154" t="str">
        <f t="shared" si="68"/>
        <v/>
      </c>
      <c r="AE425" s="172">
        <f t="shared" si="66"/>
        <v>3.472222222222222E-3</v>
      </c>
      <c r="AG425" s="154" t="str">
        <f t="shared" si="69"/>
        <v/>
      </c>
      <c r="AK425" t="e">
        <f t="shared" ca="1" si="70"/>
        <v>#N/A</v>
      </c>
      <c r="AL425" t="str">
        <f t="shared" ca="1" si="71"/>
        <v/>
      </c>
      <c r="AM425" t="str">
        <f t="shared" si="72"/>
        <v/>
      </c>
      <c r="AN425" s="172">
        <f t="shared" si="73"/>
        <v>0</v>
      </c>
      <c r="AO425">
        <f t="shared" si="74"/>
        <v>0</v>
      </c>
      <c r="AP425" t="str">
        <f t="shared" ca="1" si="75"/>
        <v/>
      </c>
      <c r="AQ425" t="str">
        <f t="shared" ca="1" si="76"/>
        <v/>
      </c>
      <c r="AR425" s="33" t="str" cm="1">
        <f t="array" aca="1" ref="AR425" ca="1">IF(A425=INDIRECT($AK$4&amp;"!$A$3"),IF(I425&lt;&gt;"",I425&amp;A425,""),"")</f>
        <v/>
      </c>
    </row>
    <row r="426" spans="1:44" ht="20.100000000000001" customHeight="1">
      <c r="A426" s="11">
        <f t="shared" si="67"/>
        <v>45797</v>
      </c>
      <c r="C426" s="39"/>
      <c r="Z426" s="154" t="str">
        <f t="shared" si="68"/>
        <v/>
      </c>
      <c r="AE426" s="172">
        <f t="shared" si="66"/>
        <v>3.472222222222222E-3</v>
      </c>
      <c r="AG426" s="154" t="str">
        <f t="shared" si="69"/>
        <v/>
      </c>
      <c r="AK426" t="e">
        <f t="shared" ca="1" si="70"/>
        <v>#N/A</v>
      </c>
      <c r="AL426" t="str">
        <f t="shared" ca="1" si="71"/>
        <v/>
      </c>
      <c r="AM426" t="str">
        <f t="shared" si="72"/>
        <v/>
      </c>
      <c r="AN426" s="172">
        <f t="shared" si="73"/>
        <v>0</v>
      </c>
      <c r="AO426">
        <f t="shared" si="74"/>
        <v>0</v>
      </c>
      <c r="AP426" t="str">
        <f t="shared" ca="1" si="75"/>
        <v/>
      </c>
      <c r="AQ426" t="str">
        <f t="shared" ca="1" si="76"/>
        <v/>
      </c>
      <c r="AR426" s="33" t="str" cm="1">
        <f t="array" aca="1" ref="AR426" ca="1">IF(A426=INDIRECT($AK$4&amp;"!$A$3"),IF(I426&lt;&gt;"",I426&amp;A426,""),"")</f>
        <v/>
      </c>
    </row>
    <row r="427" spans="1:44" ht="20.100000000000001" customHeight="1">
      <c r="A427" s="11">
        <f t="shared" si="67"/>
        <v>45797</v>
      </c>
      <c r="C427" s="39"/>
      <c r="Z427" s="154" t="str">
        <f t="shared" si="68"/>
        <v/>
      </c>
      <c r="AE427" s="172">
        <f t="shared" si="66"/>
        <v>3.472222222222222E-3</v>
      </c>
      <c r="AG427" s="154" t="str">
        <f t="shared" si="69"/>
        <v/>
      </c>
      <c r="AK427" t="e">
        <f t="shared" ca="1" si="70"/>
        <v>#N/A</v>
      </c>
      <c r="AL427" t="str">
        <f t="shared" ca="1" si="71"/>
        <v/>
      </c>
      <c r="AM427" t="str">
        <f t="shared" si="72"/>
        <v/>
      </c>
      <c r="AN427" s="172">
        <f t="shared" si="73"/>
        <v>0</v>
      </c>
      <c r="AO427">
        <f t="shared" si="74"/>
        <v>0</v>
      </c>
      <c r="AP427" t="str">
        <f t="shared" ca="1" si="75"/>
        <v/>
      </c>
      <c r="AQ427" t="str">
        <f t="shared" ca="1" si="76"/>
        <v/>
      </c>
      <c r="AR427" s="33" t="str" cm="1">
        <f t="array" aca="1" ref="AR427" ca="1">IF(A427=INDIRECT($AK$4&amp;"!$A$3"),IF(I427&lt;&gt;"",I427&amp;A427,""),"")</f>
        <v/>
      </c>
    </row>
    <row r="428" spans="1:44" ht="20.100000000000001" customHeight="1">
      <c r="A428" s="11">
        <f t="shared" si="67"/>
        <v>45797</v>
      </c>
      <c r="C428" s="39"/>
      <c r="Z428" s="154" t="str">
        <f t="shared" si="68"/>
        <v/>
      </c>
      <c r="AE428" s="172">
        <f t="shared" si="66"/>
        <v>3.472222222222222E-3</v>
      </c>
      <c r="AG428" s="154" t="str">
        <f t="shared" si="69"/>
        <v/>
      </c>
      <c r="AK428" t="e">
        <f t="shared" ca="1" si="70"/>
        <v>#N/A</v>
      </c>
      <c r="AL428" t="str">
        <f t="shared" ca="1" si="71"/>
        <v/>
      </c>
      <c r="AM428" t="str">
        <f t="shared" si="72"/>
        <v/>
      </c>
      <c r="AN428" s="172">
        <f t="shared" si="73"/>
        <v>0</v>
      </c>
      <c r="AO428">
        <f t="shared" si="74"/>
        <v>0</v>
      </c>
      <c r="AP428" t="str">
        <f t="shared" ca="1" si="75"/>
        <v/>
      </c>
      <c r="AQ428" t="str">
        <f t="shared" ca="1" si="76"/>
        <v/>
      </c>
      <c r="AR428" s="33" t="str" cm="1">
        <f t="array" aca="1" ref="AR428" ca="1">IF(A428=INDIRECT($AK$4&amp;"!$A$3"),IF(I428&lt;&gt;"",I428&amp;A428,""),"")</f>
        <v/>
      </c>
    </row>
    <row r="429" spans="1:44" ht="20.100000000000001" customHeight="1">
      <c r="A429" s="11">
        <f t="shared" si="67"/>
        <v>45797</v>
      </c>
      <c r="C429" s="39"/>
      <c r="Z429" s="154" t="str">
        <f t="shared" si="68"/>
        <v/>
      </c>
      <c r="AE429" s="172">
        <f t="shared" si="66"/>
        <v>3.472222222222222E-3</v>
      </c>
      <c r="AG429" s="154" t="str">
        <f t="shared" si="69"/>
        <v/>
      </c>
      <c r="AK429" t="e">
        <f t="shared" ca="1" si="70"/>
        <v>#N/A</v>
      </c>
      <c r="AL429" t="str">
        <f t="shared" ca="1" si="71"/>
        <v/>
      </c>
      <c r="AM429" t="str">
        <f t="shared" si="72"/>
        <v/>
      </c>
      <c r="AN429" s="172">
        <f t="shared" si="73"/>
        <v>0</v>
      </c>
      <c r="AO429">
        <f t="shared" si="74"/>
        <v>0</v>
      </c>
      <c r="AP429" t="str">
        <f t="shared" ca="1" si="75"/>
        <v/>
      </c>
      <c r="AQ429" t="str">
        <f t="shared" ca="1" si="76"/>
        <v/>
      </c>
      <c r="AR429" s="33" t="str" cm="1">
        <f t="array" aca="1" ref="AR429" ca="1">IF(A429=INDIRECT($AK$4&amp;"!$A$3"),IF(I429&lt;&gt;"",I429&amp;A429,""),"")</f>
        <v/>
      </c>
    </row>
    <row r="430" spans="1:44" ht="20.100000000000001" customHeight="1">
      <c r="A430" s="11">
        <f t="shared" si="67"/>
        <v>45797</v>
      </c>
      <c r="C430" s="39"/>
      <c r="Z430" s="154" t="str">
        <f t="shared" si="68"/>
        <v/>
      </c>
      <c r="AE430" s="172">
        <f t="shared" si="66"/>
        <v>3.472222222222222E-3</v>
      </c>
      <c r="AG430" s="154" t="str">
        <f t="shared" si="69"/>
        <v/>
      </c>
      <c r="AK430" t="e">
        <f t="shared" ca="1" si="70"/>
        <v>#N/A</v>
      </c>
      <c r="AL430" t="str">
        <f t="shared" ca="1" si="71"/>
        <v/>
      </c>
      <c r="AM430" t="str">
        <f t="shared" si="72"/>
        <v/>
      </c>
      <c r="AN430" s="172">
        <f t="shared" si="73"/>
        <v>0</v>
      </c>
      <c r="AO430">
        <f t="shared" si="74"/>
        <v>0</v>
      </c>
      <c r="AP430" t="str">
        <f t="shared" ca="1" si="75"/>
        <v/>
      </c>
      <c r="AQ430" t="str">
        <f t="shared" ca="1" si="76"/>
        <v/>
      </c>
      <c r="AR430" s="33" t="str" cm="1">
        <f t="array" aca="1" ref="AR430" ca="1">IF(A430=INDIRECT($AK$4&amp;"!$A$3"),IF(I430&lt;&gt;"",I430&amp;A430,""),"")</f>
        <v/>
      </c>
    </row>
    <row r="431" spans="1:44" ht="20.100000000000001" customHeight="1">
      <c r="A431" s="11">
        <f t="shared" si="67"/>
        <v>45797</v>
      </c>
      <c r="C431" s="39"/>
      <c r="Z431" s="154" t="str">
        <f t="shared" si="68"/>
        <v/>
      </c>
      <c r="AE431" s="172">
        <f t="shared" si="66"/>
        <v>3.472222222222222E-3</v>
      </c>
      <c r="AG431" s="154" t="str">
        <f t="shared" si="69"/>
        <v/>
      </c>
      <c r="AK431" t="e">
        <f t="shared" ca="1" si="70"/>
        <v>#N/A</v>
      </c>
      <c r="AL431" t="str">
        <f t="shared" ca="1" si="71"/>
        <v/>
      </c>
      <c r="AM431" t="str">
        <f t="shared" si="72"/>
        <v/>
      </c>
      <c r="AN431" s="172">
        <f t="shared" si="73"/>
        <v>0</v>
      </c>
      <c r="AO431">
        <f t="shared" si="74"/>
        <v>0</v>
      </c>
      <c r="AP431" t="str">
        <f t="shared" ca="1" si="75"/>
        <v/>
      </c>
      <c r="AQ431" t="str">
        <f t="shared" ca="1" si="76"/>
        <v/>
      </c>
      <c r="AR431" s="33" t="str" cm="1">
        <f t="array" aca="1" ref="AR431" ca="1">IF(A431=INDIRECT($AK$4&amp;"!$A$3"),IF(I431&lt;&gt;"",I431&amp;A431,""),"")</f>
        <v/>
      </c>
    </row>
    <row r="432" spans="1:44" ht="20.100000000000001" customHeight="1">
      <c r="A432" s="11">
        <f t="shared" si="67"/>
        <v>45797</v>
      </c>
      <c r="C432" s="39"/>
      <c r="Z432" s="154" t="str">
        <f t="shared" si="68"/>
        <v/>
      </c>
      <c r="AE432" s="172">
        <f t="shared" si="66"/>
        <v>3.472222222222222E-3</v>
      </c>
      <c r="AG432" s="154" t="str">
        <f t="shared" si="69"/>
        <v/>
      </c>
      <c r="AK432" t="e">
        <f t="shared" ca="1" si="70"/>
        <v>#N/A</v>
      </c>
      <c r="AL432" t="str">
        <f t="shared" ca="1" si="71"/>
        <v/>
      </c>
      <c r="AM432" t="str">
        <f t="shared" si="72"/>
        <v/>
      </c>
      <c r="AN432" s="172">
        <f t="shared" si="73"/>
        <v>0</v>
      </c>
      <c r="AO432">
        <f t="shared" si="74"/>
        <v>0</v>
      </c>
      <c r="AP432" t="str">
        <f t="shared" ca="1" si="75"/>
        <v/>
      </c>
      <c r="AQ432" t="str">
        <f t="shared" ca="1" si="76"/>
        <v/>
      </c>
      <c r="AR432" s="33" t="str" cm="1">
        <f t="array" aca="1" ref="AR432" ca="1">IF(A432=INDIRECT($AK$4&amp;"!$A$3"),IF(I432&lt;&gt;"",I432&amp;A432,""),"")</f>
        <v/>
      </c>
    </row>
    <row r="433" spans="1:44" ht="20.100000000000001" customHeight="1">
      <c r="A433" s="11">
        <f t="shared" si="67"/>
        <v>45797</v>
      </c>
      <c r="C433" s="39"/>
      <c r="Z433" s="154" t="str">
        <f t="shared" si="68"/>
        <v/>
      </c>
      <c r="AE433" s="172">
        <f t="shared" si="66"/>
        <v>3.472222222222222E-3</v>
      </c>
      <c r="AG433" s="154" t="str">
        <f t="shared" si="69"/>
        <v/>
      </c>
      <c r="AK433" t="e">
        <f t="shared" ca="1" si="70"/>
        <v>#N/A</v>
      </c>
      <c r="AL433" t="str">
        <f t="shared" ca="1" si="71"/>
        <v/>
      </c>
      <c r="AM433" t="str">
        <f t="shared" si="72"/>
        <v/>
      </c>
      <c r="AN433" s="172">
        <f t="shared" si="73"/>
        <v>0</v>
      </c>
      <c r="AO433">
        <f t="shared" si="74"/>
        <v>0</v>
      </c>
      <c r="AP433" t="str">
        <f t="shared" ca="1" si="75"/>
        <v/>
      </c>
      <c r="AQ433" t="str">
        <f t="shared" ca="1" si="76"/>
        <v/>
      </c>
      <c r="AR433" s="33" t="str" cm="1">
        <f t="array" aca="1" ref="AR433" ca="1">IF(A433=INDIRECT($AK$4&amp;"!$A$3"),IF(I433&lt;&gt;"",I433&amp;A433,""),"")</f>
        <v/>
      </c>
    </row>
    <row r="434" spans="1:44" ht="20.100000000000001" customHeight="1">
      <c r="A434" s="11">
        <f t="shared" si="67"/>
        <v>45797</v>
      </c>
      <c r="C434" s="39"/>
      <c r="Z434" s="154" t="str">
        <f t="shared" si="68"/>
        <v/>
      </c>
      <c r="AE434" s="172">
        <f t="shared" si="66"/>
        <v>3.472222222222222E-3</v>
      </c>
      <c r="AG434" s="154" t="str">
        <f t="shared" si="69"/>
        <v/>
      </c>
      <c r="AK434" t="e">
        <f t="shared" ca="1" si="70"/>
        <v>#N/A</v>
      </c>
      <c r="AL434" t="str">
        <f t="shared" ca="1" si="71"/>
        <v/>
      </c>
      <c r="AM434" t="str">
        <f t="shared" si="72"/>
        <v/>
      </c>
      <c r="AN434" s="172">
        <f t="shared" si="73"/>
        <v>0</v>
      </c>
      <c r="AO434">
        <f t="shared" si="74"/>
        <v>0</v>
      </c>
      <c r="AP434" t="str">
        <f t="shared" ca="1" si="75"/>
        <v/>
      </c>
      <c r="AQ434" t="str">
        <f t="shared" ca="1" si="76"/>
        <v/>
      </c>
      <c r="AR434" s="33" t="str" cm="1">
        <f t="array" aca="1" ref="AR434" ca="1">IF(A434=INDIRECT($AK$4&amp;"!$A$3"),IF(I434&lt;&gt;"",I434&amp;A434,""),"")</f>
        <v/>
      </c>
    </row>
    <row r="435" spans="1:44" ht="20.100000000000001" customHeight="1">
      <c r="A435" s="11">
        <f t="shared" si="67"/>
        <v>45797</v>
      </c>
      <c r="C435" s="39"/>
      <c r="Z435" s="154" t="str">
        <f t="shared" si="68"/>
        <v/>
      </c>
      <c r="AE435" s="172">
        <f t="shared" si="66"/>
        <v>3.472222222222222E-3</v>
      </c>
      <c r="AG435" s="154" t="str">
        <f t="shared" si="69"/>
        <v/>
      </c>
      <c r="AK435" t="e">
        <f t="shared" ca="1" si="70"/>
        <v>#N/A</v>
      </c>
      <c r="AL435" t="str">
        <f t="shared" ca="1" si="71"/>
        <v/>
      </c>
      <c r="AM435" t="str">
        <f t="shared" si="72"/>
        <v/>
      </c>
      <c r="AN435" s="172">
        <f t="shared" si="73"/>
        <v>0</v>
      </c>
      <c r="AO435">
        <f t="shared" si="74"/>
        <v>0</v>
      </c>
      <c r="AP435" t="str">
        <f t="shared" ca="1" si="75"/>
        <v/>
      </c>
      <c r="AQ435" t="str">
        <f t="shared" ca="1" si="76"/>
        <v/>
      </c>
      <c r="AR435" s="33" t="str" cm="1">
        <f t="array" aca="1" ref="AR435" ca="1">IF(A435=INDIRECT($AK$4&amp;"!$A$3"),IF(I435&lt;&gt;"",I435&amp;A435,""),"")</f>
        <v/>
      </c>
    </row>
    <row r="436" spans="1:44" ht="20.100000000000001" customHeight="1">
      <c r="A436" s="11">
        <f t="shared" si="67"/>
        <v>45797</v>
      </c>
      <c r="C436" s="39"/>
      <c r="Z436" s="154" t="str">
        <f t="shared" si="68"/>
        <v/>
      </c>
      <c r="AE436" s="172">
        <f t="shared" si="66"/>
        <v>3.472222222222222E-3</v>
      </c>
      <c r="AG436" s="154" t="str">
        <f t="shared" si="69"/>
        <v/>
      </c>
      <c r="AK436" t="e">
        <f t="shared" ca="1" si="70"/>
        <v>#N/A</v>
      </c>
      <c r="AL436" t="str">
        <f t="shared" ca="1" si="71"/>
        <v/>
      </c>
      <c r="AM436" t="str">
        <f t="shared" si="72"/>
        <v/>
      </c>
      <c r="AN436" s="172">
        <f t="shared" si="73"/>
        <v>0</v>
      </c>
      <c r="AO436">
        <f t="shared" si="74"/>
        <v>0</v>
      </c>
      <c r="AP436" t="str">
        <f t="shared" ca="1" si="75"/>
        <v/>
      </c>
      <c r="AQ436" t="str">
        <f t="shared" ca="1" si="76"/>
        <v/>
      </c>
      <c r="AR436" s="33" t="str" cm="1">
        <f t="array" aca="1" ref="AR436" ca="1">IF(A436=INDIRECT($AK$4&amp;"!$A$3"),IF(I436&lt;&gt;"",I436&amp;A436,""),"")</f>
        <v/>
      </c>
    </row>
    <row r="437" spans="1:44" ht="20.100000000000001" customHeight="1">
      <c r="A437" s="11">
        <f t="shared" si="67"/>
        <v>45797</v>
      </c>
      <c r="C437" s="39"/>
      <c r="Z437" s="154" t="str">
        <f t="shared" si="68"/>
        <v/>
      </c>
      <c r="AE437" s="172">
        <f t="shared" si="66"/>
        <v>3.472222222222222E-3</v>
      </c>
      <c r="AG437" s="154" t="str">
        <f t="shared" si="69"/>
        <v/>
      </c>
      <c r="AK437" t="e">
        <f t="shared" ca="1" si="70"/>
        <v>#N/A</v>
      </c>
      <c r="AL437" t="str">
        <f t="shared" ca="1" si="71"/>
        <v/>
      </c>
      <c r="AM437" t="str">
        <f t="shared" si="72"/>
        <v/>
      </c>
      <c r="AN437" s="172">
        <f t="shared" si="73"/>
        <v>0</v>
      </c>
      <c r="AO437">
        <f t="shared" si="74"/>
        <v>0</v>
      </c>
      <c r="AP437" t="str">
        <f t="shared" ca="1" si="75"/>
        <v/>
      </c>
      <c r="AQ437" t="str">
        <f t="shared" ca="1" si="76"/>
        <v/>
      </c>
      <c r="AR437" s="33" t="str" cm="1">
        <f t="array" aca="1" ref="AR437" ca="1">IF(A437=INDIRECT($AK$4&amp;"!$A$3"),IF(I437&lt;&gt;"",I437&amp;A437,""),"")</f>
        <v/>
      </c>
    </row>
    <row r="438" spans="1:44" ht="20.100000000000001" customHeight="1">
      <c r="A438" s="11">
        <f t="shared" si="67"/>
        <v>45797</v>
      </c>
      <c r="C438" s="39"/>
      <c r="Z438" s="154" t="str">
        <f t="shared" si="68"/>
        <v/>
      </c>
      <c r="AE438" s="172">
        <f t="shared" si="66"/>
        <v>3.472222222222222E-3</v>
      </c>
      <c r="AG438" s="154" t="str">
        <f t="shared" si="69"/>
        <v/>
      </c>
      <c r="AK438" t="e">
        <f t="shared" ca="1" si="70"/>
        <v>#N/A</v>
      </c>
      <c r="AL438" t="str">
        <f t="shared" ca="1" si="71"/>
        <v/>
      </c>
      <c r="AM438" t="str">
        <f t="shared" si="72"/>
        <v/>
      </c>
      <c r="AN438" s="172">
        <f t="shared" si="73"/>
        <v>0</v>
      </c>
      <c r="AO438">
        <f t="shared" si="74"/>
        <v>0</v>
      </c>
      <c r="AP438" t="str">
        <f t="shared" ca="1" si="75"/>
        <v/>
      </c>
      <c r="AQ438" t="str">
        <f t="shared" ca="1" si="76"/>
        <v/>
      </c>
      <c r="AR438" s="33" t="str" cm="1">
        <f t="array" aca="1" ref="AR438" ca="1">IF(A438=INDIRECT($AK$4&amp;"!$A$3"),IF(I438&lt;&gt;"",I438&amp;A438,""),"")</f>
        <v/>
      </c>
    </row>
    <row r="439" spans="1:44" ht="20.100000000000001" customHeight="1">
      <c r="A439" s="11">
        <f t="shared" si="67"/>
        <v>45797</v>
      </c>
      <c r="C439" s="39"/>
      <c r="Z439" s="154" t="str">
        <f t="shared" si="68"/>
        <v/>
      </c>
      <c r="AE439" s="172">
        <f t="shared" si="66"/>
        <v>3.472222222222222E-3</v>
      </c>
      <c r="AG439" s="154" t="str">
        <f t="shared" si="69"/>
        <v/>
      </c>
      <c r="AK439" t="e">
        <f t="shared" ca="1" si="70"/>
        <v>#N/A</v>
      </c>
      <c r="AL439" t="str">
        <f t="shared" ca="1" si="71"/>
        <v/>
      </c>
      <c r="AM439" t="str">
        <f t="shared" si="72"/>
        <v/>
      </c>
      <c r="AN439" s="172">
        <f t="shared" si="73"/>
        <v>0</v>
      </c>
      <c r="AO439">
        <f t="shared" si="74"/>
        <v>0</v>
      </c>
      <c r="AP439" t="str">
        <f t="shared" ca="1" si="75"/>
        <v/>
      </c>
      <c r="AQ439" t="str">
        <f t="shared" ca="1" si="76"/>
        <v/>
      </c>
      <c r="AR439" s="33" t="str" cm="1">
        <f t="array" aca="1" ref="AR439" ca="1">IF(A439=INDIRECT($AK$4&amp;"!$A$3"),IF(I439&lt;&gt;"",I439&amp;A439,""),"")</f>
        <v/>
      </c>
    </row>
    <row r="440" spans="1:44" ht="20.100000000000001" customHeight="1">
      <c r="A440" s="11">
        <f t="shared" si="67"/>
        <v>45797</v>
      </c>
      <c r="C440" s="39"/>
      <c r="Z440" s="154" t="str">
        <f t="shared" si="68"/>
        <v/>
      </c>
      <c r="AE440" s="172">
        <f t="shared" si="66"/>
        <v>3.472222222222222E-3</v>
      </c>
      <c r="AG440" s="154" t="str">
        <f t="shared" si="69"/>
        <v/>
      </c>
      <c r="AK440" t="e">
        <f t="shared" ca="1" si="70"/>
        <v>#N/A</v>
      </c>
      <c r="AL440" t="str">
        <f t="shared" ca="1" si="71"/>
        <v/>
      </c>
      <c r="AM440" t="str">
        <f t="shared" si="72"/>
        <v/>
      </c>
      <c r="AN440" s="172">
        <f t="shared" si="73"/>
        <v>0</v>
      </c>
      <c r="AO440">
        <f t="shared" si="74"/>
        <v>0</v>
      </c>
      <c r="AP440" t="str">
        <f t="shared" ca="1" si="75"/>
        <v/>
      </c>
      <c r="AQ440" t="str">
        <f t="shared" ca="1" si="76"/>
        <v/>
      </c>
      <c r="AR440" s="33" t="str" cm="1">
        <f t="array" aca="1" ref="AR440" ca="1">IF(A440=INDIRECT($AK$4&amp;"!$A$3"),IF(I440&lt;&gt;"",I440&amp;A440,""),"")</f>
        <v/>
      </c>
    </row>
    <row r="441" spans="1:44" ht="20.100000000000001" customHeight="1">
      <c r="A441" s="11">
        <f t="shared" si="67"/>
        <v>45797</v>
      </c>
      <c r="C441" s="39"/>
      <c r="Z441" s="154" t="str">
        <f t="shared" si="68"/>
        <v/>
      </c>
      <c r="AE441" s="172">
        <f t="shared" si="66"/>
        <v>3.472222222222222E-3</v>
      </c>
      <c r="AG441" s="154" t="str">
        <f t="shared" si="69"/>
        <v/>
      </c>
      <c r="AK441" t="e">
        <f t="shared" ca="1" si="70"/>
        <v>#N/A</v>
      </c>
      <c r="AL441" t="str">
        <f t="shared" ca="1" si="71"/>
        <v/>
      </c>
      <c r="AM441" t="str">
        <f t="shared" si="72"/>
        <v/>
      </c>
      <c r="AN441" s="172">
        <f t="shared" si="73"/>
        <v>0</v>
      </c>
      <c r="AO441">
        <f t="shared" si="74"/>
        <v>0</v>
      </c>
      <c r="AP441" t="str">
        <f t="shared" ca="1" si="75"/>
        <v/>
      </c>
      <c r="AQ441" t="str">
        <f t="shared" ca="1" si="76"/>
        <v/>
      </c>
      <c r="AR441" s="33" t="str" cm="1">
        <f t="array" aca="1" ref="AR441" ca="1">IF(A441=INDIRECT($AK$4&amp;"!$A$3"),IF(I441&lt;&gt;"",I441&amp;A441,""),"")</f>
        <v/>
      </c>
    </row>
    <row r="442" spans="1:44" ht="20.100000000000001" customHeight="1">
      <c r="A442" s="11">
        <f t="shared" si="67"/>
        <v>45797</v>
      </c>
      <c r="C442" s="39"/>
      <c r="Z442" s="154" t="str">
        <f t="shared" si="68"/>
        <v/>
      </c>
      <c r="AE442" s="172">
        <f t="shared" si="66"/>
        <v>3.472222222222222E-3</v>
      </c>
      <c r="AG442" s="154" t="str">
        <f t="shared" si="69"/>
        <v/>
      </c>
      <c r="AK442" t="e">
        <f t="shared" ca="1" si="70"/>
        <v>#N/A</v>
      </c>
      <c r="AL442" t="str">
        <f t="shared" ca="1" si="71"/>
        <v/>
      </c>
      <c r="AM442" t="str">
        <f t="shared" si="72"/>
        <v/>
      </c>
      <c r="AN442" s="172">
        <f t="shared" si="73"/>
        <v>0</v>
      </c>
      <c r="AO442">
        <f t="shared" si="74"/>
        <v>0</v>
      </c>
      <c r="AP442" t="str">
        <f t="shared" ca="1" si="75"/>
        <v/>
      </c>
      <c r="AQ442" t="str">
        <f t="shared" ca="1" si="76"/>
        <v/>
      </c>
      <c r="AR442" s="33" t="str" cm="1">
        <f t="array" aca="1" ref="AR442" ca="1">IF(A442=INDIRECT($AK$4&amp;"!$A$3"),IF(I442&lt;&gt;"",I442&amp;A442,""),"")</f>
        <v/>
      </c>
    </row>
    <row r="443" spans="1:44" ht="20.100000000000001" customHeight="1">
      <c r="A443" s="11">
        <f t="shared" si="67"/>
        <v>45797</v>
      </c>
      <c r="C443" s="39"/>
      <c r="Z443" s="154" t="str">
        <f t="shared" si="68"/>
        <v/>
      </c>
      <c r="AE443" s="172">
        <f t="shared" si="66"/>
        <v>3.472222222222222E-3</v>
      </c>
      <c r="AG443" s="154" t="str">
        <f t="shared" si="69"/>
        <v/>
      </c>
      <c r="AK443" t="e">
        <f t="shared" ca="1" si="70"/>
        <v>#N/A</v>
      </c>
      <c r="AL443" t="str">
        <f t="shared" ca="1" si="71"/>
        <v/>
      </c>
      <c r="AM443" t="str">
        <f t="shared" si="72"/>
        <v/>
      </c>
      <c r="AN443" s="172">
        <f t="shared" si="73"/>
        <v>0</v>
      </c>
      <c r="AO443">
        <f t="shared" si="74"/>
        <v>0</v>
      </c>
      <c r="AP443" t="str">
        <f t="shared" ca="1" si="75"/>
        <v/>
      </c>
      <c r="AQ443" t="str">
        <f t="shared" ca="1" si="76"/>
        <v/>
      </c>
      <c r="AR443" s="33" t="str" cm="1">
        <f t="array" aca="1" ref="AR443" ca="1">IF(A443=INDIRECT($AK$4&amp;"!$A$3"),IF(I443&lt;&gt;"",I443&amp;A443,""),"")</f>
        <v/>
      </c>
    </row>
    <row r="444" spans="1:44" ht="20.100000000000001" customHeight="1">
      <c r="A444" s="11">
        <f t="shared" si="67"/>
        <v>45797</v>
      </c>
      <c r="C444" s="39"/>
      <c r="Z444" s="154" t="str">
        <f t="shared" si="68"/>
        <v/>
      </c>
      <c r="AE444" s="172">
        <f t="shared" si="66"/>
        <v>3.472222222222222E-3</v>
      </c>
      <c r="AG444" s="154" t="str">
        <f t="shared" si="69"/>
        <v/>
      </c>
      <c r="AK444" t="e">
        <f t="shared" ca="1" si="70"/>
        <v>#N/A</v>
      </c>
      <c r="AL444" t="str">
        <f t="shared" ca="1" si="71"/>
        <v/>
      </c>
      <c r="AM444" t="str">
        <f t="shared" si="72"/>
        <v/>
      </c>
      <c r="AN444" s="172">
        <f t="shared" si="73"/>
        <v>0</v>
      </c>
      <c r="AO444">
        <f t="shared" si="74"/>
        <v>0</v>
      </c>
      <c r="AP444" t="str">
        <f t="shared" ca="1" si="75"/>
        <v/>
      </c>
      <c r="AQ444" t="str">
        <f t="shared" ca="1" si="76"/>
        <v/>
      </c>
      <c r="AR444" s="33" t="str" cm="1">
        <f t="array" aca="1" ref="AR444" ca="1">IF(A444=INDIRECT($AK$4&amp;"!$A$3"),IF(I444&lt;&gt;"",I444&amp;A444,""),"")</f>
        <v/>
      </c>
    </row>
    <row r="445" spans="1:44" ht="20.100000000000001" customHeight="1">
      <c r="A445" s="11">
        <f t="shared" si="67"/>
        <v>45797</v>
      </c>
      <c r="C445" s="39"/>
      <c r="Z445" s="154" t="str">
        <f t="shared" si="68"/>
        <v/>
      </c>
      <c r="AE445" s="172">
        <f t="shared" si="66"/>
        <v>3.472222222222222E-3</v>
      </c>
      <c r="AG445" s="154" t="str">
        <f t="shared" si="69"/>
        <v/>
      </c>
      <c r="AK445" t="e">
        <f t="shared" ca="1" si="70"/>
        <v>#N/A</v>
      </c>
      <c r="AL445" t="str">
        <f t="shared" ca="1" si="71"/>
        <v/>
      </c>
      <c r="AM445" t="str">
        <f t="shared" si="72"/>
        <v/>
      </c>
      <c r="AN445" s="172">
        <f t="shared" si="73"/>
        <v>0</v>
      </c>
      <c r="AO445">
        <f t="shared" si="74"/>
        <v>0</v>
      </c>
      <c r="AP445" t="str">
        <f t="shared" ca="1" si="75"/>
        <v/>
      </c>
      <c r="AQ445" t="str">
        <f t="shared" ca="1" si="76"/>
        <v/>
      </c>
      <c r="AR445" s="33" t="str" cm="1">
        <f t="array" aca="1" ref="AR445" ca="1">IF(A445=INDIRECT($AK$4&amp;"!$A$3"),IF(I445&lt;&gt;"",I445&amp;A445,""),"")</f>
        <v/>
      </c>
    </row>
    <row r="446" spans="1:44" ht="20.100000000000001" customHeight="1">
      <c r="A446" s="11">
        <f t="shared" si="67"/>
        <v>45797</v>
      </c>
      <c r="C446" s="39"/>
      <c r="Z446" s="154" t="str">
        <f t="shared" si="68"/>
        <v/>
      </c>
      <c r="AE446" s="172">
        <f t="shared" si="66"/>
        <v>3.472222222222222E-3</v>
      </c>
      <c r="AG446" s="154" t="str">
        <f t="shared" si="69"/>
        <v/>
      </c>
      <c r="AK446" t="e">
        <f t="shared" ca="1" si="70"/>
        <v>#N/A</v>
      </c>
      <c r="AL446" t="str">
        <f t="shared" ca="1" si="71"/>
        <v/>
      </c>
      <c r="AM446" t="str">
        <f t="shared" si="72"/>
        <v/>
      </c>
      <c r="AN446" s="172">
        <f t="shared" si="73"/>
        <v>0</v>
      </c>
      <c r="AO446">
        <f t="shared" si="74"/>
        <v>0</v>
      </c>
      <c r="AP446" t="str">
        <f t="shared" ca="1" si="75"/>
        <v/>
      </c>
      <c r="AQ446" t="str">
        <f t="shared" ca="1" si="76"/>
        <v/>
      </c>
      <c r="AR446" s="33" t="str" cm="1">
        <f t="array" aca="1" ref="AR446" ca="1">IF(A446=INDIRECT($AK$4&amp;"!$A$3"),IF(I446&lt;&gt;"",I446&amp;A446,""),"")</f>
        <v/>
      </c>
    </row>
    <row r="447" spans="1:44" ht="20.100000000000001" customHeight="1">
      <c r="A447" s="11">
        <f t="shared" si="67"/>
        <v>45797</v>
      </c>
      <c r="C447" s="39"/>
      <c r="Z447" s="154" t="str">
        <f t="shared" si="68"/>
        <v/>
      </c>
      <c r="AE447" s="172">
        <f t="shared" si="66"/>
        <v>3.472222222222222E-3</v>
      </c>
      <c r="AG447" s="154" t="str">
        <f t="shared" si="69"/>
        <v/>
      </c>
      <c r="AK447" t="e">
        <f t="shared" ca="1" si="70"/>
        <v>#N/A</v>
      </c>
      <c r="AL447" t="str">
        <f t="shared" ca="1" si="71"/>
        <v/>
      </c>
      <c r="AM447" t="str">
        <f t="shared" si="72"/>
        <v/>
      </c>
      <c r="AN447" s="172">
        <f t="shared" si="73"/>
        <v>0</v>
      </c>
      <c r="AO447">
        <f t="shared" si="74"/>
        <v>0</v>
      </c>
      <c r="AP447" t="str">
        <f t="shared" ca="1" si="75"/>
        <v/>
      </c>
      <c r="AQ447" t="str">
        <f t="shared" ca="1" si="76"/>
        <v/>
      </c>
      <c r="AR447" s="33" t="str" cm="1">
        <f t="array" aca="1" ref="AR447" ca="1">IF(A447=INDIRECT($AK$4&amp;"!$A$3"),IF(I447&lt;&gt;"",I447&amp;A447,""),"")</f>
        <v/>
      </c>
    </row>
    <row r="448" spans="1:44" ht="20.100000000000001" customHeight="1">
      <c r="A448" s="11">
        <f t="shared" si="67"/>
        <v>45797</v>
      </c>
      <c r="C448" s="39"/>
      <c r="Z448" s="154" t="str">
        <f t="shared" si="68"/>
        <v/>
      </c>
      <c r="AE448" s="172">
        <f t="shared" si="66"/>
        <v>3.472222222222222E-3</v>
      </c>
      <c r="AG448" s="154" t="str">
        <f t="shared" si="69"/>
        <v/>
      </c>
      <c r="AK448" t="e">
        <f t="shared" ca="1" si="70"/>
        <v>#N/A</v>
      </c>
      <c r="AL448" t="str">
        <f t="shared" ca="1" si="71"/>
        <v/>
      </c>
      <c r="AM448" t="str">
        <f t="shared" si="72"/>
        <v/>
      </c>
      <c r="AN448" s="172">
        <f t="shared" si="73"/>
        <v>0</v>
      </c>
      <c r="AO448">
        <f t="shared" si="74"/>
        <v>0</v>
      </c>
      <c r="AP448" t="str">
        <f t="shared" ca="1" si="75"/>
        <v/>
      </c>
      <c r="AQ448" t="str">
        <f t="shared" ca="1" si="76"/>
        <v/>
      </c>
      <c r="AR448" s="33" t="str" cm="1">
        <f t="array" aca="1" ref="AR448" ca="1">IF(A448=INDIRECT($AK$4&amp;"!$A$3"),IF(I448&lt;&gt;"",I448&amp;A448,""),"")</f>
        <v/>
      </c>
    </row>
    <row r="449" spans="1:44" ht="20.100000000000001" customHeight="1">
      <c r="A449" s="11">
        <f t="shared" si="67"/>
        <v>45797</v>
      </c>
      <c r="C449" s="39"/>
      <c r="Z449" s="154" t="str">
        <f t="shared" si="68"/>
        <v/>
      </c>
      <c r="AE449" s="172">
        <f t="shared" si="66"/>
        <v>3.472222222222222E-3</v>
      </c>
      <c r="AG449" s="154" t="str">
        <f t="shared" si="69"/>
        <v/>
      </c>
      <c r="AK449" t="e">
        <f t="shared" ca="1" si="70"/>
        <v>#N/A</v>
      </c>
      <c r="AL449" t="str">
        <f t="shared" ca="1" si="71"/>
        <v/>
      </c>
      <c r="AM449" t="str">
        <f t="shared" si="72"/>
        <v/>
      </c>
      <c r="AN449" s="172">
        <f t="shared" si="73"/>
        <v>0</v>
      </c>
      <c r="AO449">
        <f t="shared" si="74"/>
        <v>0</v>
      </c>
      <c r="AP449" t="str">
        <f t="shared" ca="1" si="75"/>
        <v/>
      </c>
      <c r="AQ449" t="str">
        <f t="shared" ca="1" si="76"/>
        <v/>
      </c>
      <c r="AR449" s="33" t="str" cm="1">
        <f t="array" aca="1" ref="AR449" ca="1">IF(A449=INDIRECT($AK$4&amp;"!$A$3"),IF(I449&lt;&gt;"",I449&amp;A449,""),"")</f>
        <v/>
      </c>
    </row>
    <row r="450" spans="1:44" ht="20.100000000000001" customHeight="1">
      <c r="A450" s="11">
        <f t="shared" si="67"/>
        <v>45797</v>
      </c>
      <c r="C450" s="39"/>
      <c r="Z450" s="154" t="str">
        <f t="shared" si="68"/>
        <v/>
      </c>
      <c r="AE450" s="172">
        <f t="shared" si="66"/>
        <v>3.472222222222222E-3</v>
      </c>
      <c r="AG450" s="154" t="str">
        <f t="shared" si="69"/>
        <v/>
      </c>
      <c r="AK450" t="e">
        <f t="shared" ca="1" si="70"/>
        <v>#N/A</v>
      </c>
      <c r="AL450" t="str">
        <f t="shared" ca="1" si="71"/>
        <v/>
      </c>
      <c r="AM450" t="str">
        <f t="shared" si="72"/>
        <v/>
      </c>
      <c r="AN450" s="172">
        <f t="shared" si="73"/>
        <v>0</v>
      </c>
      <c r="AO450">
        <f t="shared" si="74"/>
        <v>0</v>
      </c>
      <c r="AP450" t="str">
        <f t="shared" ca="1" si="75"/>
        <v/>
      </c>
      <c r="AQ450" t="str">
        <f t="shared" ca="1" si="76"/>
        <v/>
      </c>
      <c r="AR450" s="33" t="str" cm="1">
        <f t="array" aca="1" ref="AR450" ca="1">IF(A450=INDIRECT($AK$4&amp;"!$A$3"),IF(I450&lt;&gt;"",I450&amp;A450,""),"")</f>
        <v/>
      </c>
    </row>
    <row r="451" spans="1:44" ht="20.100000000000001" customHeight="1">
      <c r="A451" s="11">
        <f t="shared" si="67"/>
        <v>45797</v>
      </c>
      <c r="C451" s="39"/>
      <c r="Z451" s="154" t="str">
        <f t="shared" si="68"/>
        <v/>
      </c>
      <c r="AE451" s="172">
        <f t="shared" si="66"/>
        <v>3.472222222222222E-3</v>
      </c>
      <c r="AG451" s="154" t="str">
        <f t="shared" si="69"/>
        <v/>
      </c>
      <c r="AK451" t="e">
        <f t="shared" ca="1" si="70"/>
        <v>#N/A</v>
      </c>
      <c r="AL451" t="str">
        <f t="shared" ca="1" si="71"/>
        <v/>
      </c>
      <c r="AM451" t="str">
        <f t="shared" si="72"/>
        <v/>
      </c>
      <c r="AN451" s="172">
        <f t="shared" si="73"/>
        <v>0</v>
      </c>
      <c r="AO451">
        <f t="shared" si="74"/>
        <v>0</v>
      </c>
      <c r="AP451" t="str">
        <f t="shared" ca="1" si="75"/>
        <v/>
      </c>
      <c r="AQ451" t="str">
        <f t="shared" ca="1" si="76"/>
        <v/>
      </c>
      <c r="AR451" s="33" t="str" cm="1">
        <f t="array" aca="1" ref="AR451" ca="1">IF(A451=INDIRECT($AK$4&amp;"!$A$3"),IF(I451&lt;&gt;"",I451&amp;A451,""),"")</f>
        <v/>
      </c>
    </row>
    <row r="452" spans="1:44" ht="20.100000000000001" customHeight="1">
      <c r="A452" s="11">
        <f t="shared" si="67"/>
        <v>45797</v>
      </c>
      <c r="C452" s="39"/>
      <c r="Z452" s="154" t="str">
        <f t="shared" si="68"/>
        <v/>
      </c>
      <c r="AE452" s="172">
        <f t="shared" si="66"/>
        <v>3.472222222222222E-3</v>
      </c>
      <c r="AG452" s="154" t="str">
        <f t="shared" si="69"/>
        <v/>
      </c>
      <c r="AK452" t="e">
        <f t="shared" ca="1" si="70"/>
        <v>#N/A</v>
      </c>
      <c r="AL452" t="str">
        <f t="shared" ca="1" si="71"/>
        <v/>
      </c>
      <c r="AM452" t="str">
        <f t="shared" si="72"/>
        <v/>
      </c>
      <c r="AN452" s="172">
        <f t="shared" si="73"/>
        <v>0</v>
      </c>
      <c r="AO452">
        <f t="shared" si="74"/>
        <v>0</v>
      </c>
      <c r="AP452" t="str">
        <f t="shared" ca="1" si="75"/>
        <v/>
      </c>
      <c r="AQ452" t="str">
        <f t="shared" ca="1" si="76"/>
        <v/>
      </c>
      <c r="AR452" s="33" t="str" cm="1">
        <f t="array" aca="1" ref="AR452" ca="1">IF(A452=INDIRECT($AK$4&amp;"!$A$3"),IF(I452&lt;&gt;"",I452&amp;A452,""),"")</f>
        <v/>
      </c>
    </row>
    <row r="453" spans="1:44" ht="20.100000000000001" customHeight="1">
      <c r="A453" s="11">
        <f t="shared" si="67"/>
        <v>45797</v>
      </c>
      <c r="C453" s="39"/>
      <c r="Z453" s="154" t="str">
        <f t="shared" si="68"/>
        <v/>
      </c>
      <c r="AE453" s="172">
        <f t="shared" ref="AE453:AE516" si="77">TIME(0,$K453+5,0)</f>
        <v>3.472222222222222E-3</v>
      </c>
      <c r="AG453" s="154" t="str">
        <f t="shared" si="69"/>
        <v/>
      </c>
      <c r="AK453" t="e">
        <f t="shared" ca="1" si="70"/>
        <v>#N/A</v>
      </c>
      <c r="AL453" t="str">
        <f t="shared" ca="1" si="71"/>
        <v/>
      </c>
      <c r="AM453" t="str">
        <f t="shared" si="72"/>
        <v/>
      </c>
      <c r="AN453" s="172">
        <f t="shared" si="73"/>
        <v>0</v>
      </c>
      <c r="AO453">
        <f t="shared" si="74"/>
        <v>0</v>
      </c>
      <c r="AP453" t="str">
        <f t="shared" ca="1" si="75"/>
        <v/>
      </c>
      <c r="AQ453" t="str">
        <f t="shared" ca="1" si="76"/>
        <v/>
      </c>
      <c r="AR453" s="33" t="str" cm="1">
        <f t="array" aca="1" ref="AR453" ca="1">IF(A453=INDIRECT($AK$4&amp;"!$A$3"),IF(I453&lt;&gt;"",I453&amp;A453,""),"")</f>
        <v/>
      </c>
    </row>
    <row r="454" spans="1:44" ht="20.100000000000001" customHeight="1">
      <c r="A454" s="11">
        <f t="shared" ref="A454:A517" si="78">A453</f>
        <v>45797</v>
      </c>
      <c r="C454" s="39"/>
      <c r="Z454" s="154" t="str">
        <f t="shared" ref="Z454:Z517" si="79">IF(Y454="","",$Y454+TIME(0,5,0))</f>
        <v/>
      </c>
      <c r="AE454" s="172">
        <f t="shared" si="77"/>
        <v>3.472222222222222E-3</v>
      </c>
      <c r="AG454" s="154" t="str">
        <f t="shared" ref="AG454:AG517" si="80">IF(AF454="","",IF(D454="トラブル報告",AF454+TIME(0,45,0),SUM(AE454,AF454)))</f>
        <v/>
      </c>
      <c r="AK454" t="e">
        <f t="shared" ref="AK454:AK501" ca="1" si="81">VLOOKUP($B454,INDIRECT($AK$4&amp;"!$Z$3:$AB$17"),3,FALSE)</f>
        <v>#N/A</v>
      </c>
      <c r="AL454" t="str">
        <f t="shared" ref="AL454:AL501" ca="1" si="82">IFERROR(AK454,"")</f>
        <v/>
      </c>
      <c r="AM454" t="str">
        <f t="shared" ref="AM454:AM501" si="83">IF(L454&lt;&gt;"",L454&amp;A454,"")</f>
        <v/>
      </c>
      <c r="AN454" s="172">
        <f t="shared" ref="AN454:AN501" si="84">AF454</f>
        <v>0</v>
      </c>
      <c r="AO454">
        <f t="shared" ref="AO454:AO501" si="85">IF(AND(L454&lt;&gt;"",O454&lt;&gt;"別ルート",O454&lt;&gt;"DS一時停止中",O454&lt;&gt;"RESCUER数時間後",O454&lt;&gt;"DSレスキュー済",O454&lt;&gt;"合流前Rescuee ",O454&lt;&gt;"合流前RESCUER",O454&lt;&gt;"DS完了",O454&lt;&gt;"Cortex Issue",V454&lt;&gt;"一時拒否",V454&lt;&gt;"終日拒否",V454&lt;&gt;"電話不通x2",V454&lt;&gt;"ー",V454&lt;&gt;"外国語",AA454&lt;&gt;"拒否",AA454&lt;&gt;"Rescueトラブル",AA454&lt;&gt;"電話不通x2",AA454&lt;&gt;"ー",AA454&lt;&gt;"外国語",AB454&lt;&gt;"拒否",AB454&lt;&gt;"電話不通x2",AB454&lt;&gt;"Rescueトラブル",AB454&lt;&gt;"外国語",AB454&lt;&gt;"ー"),1,0)</f>
        <v>0</v>
      </c>
      <c r="AP454" t="str">
        <f t="shared" ref="AP454:AP501" ca="1" si="86">IFERROR(IF(A454=TODAY(),VLOOKUP($L454,INDIRECT($AK$4&amp;"!AK:AM"),3,FALSE),""),"")</f>
        <v/>
      </c>
      <c r="AQ454" t="str">
        <f t="shared" ref="AQ454:AQ501" ca="1" si="87">IFERROR(IF(A454=TODAY(),VLOOKUP($I454,INDIRECT($AK$4&amp;"!AK:AM"),3,FALSE),""),"")</f>
        <v/>
      </c>
      <c r="AR454" s="33" t="str" cm="1">
        <f t="array" aca="1" ref="AR454" ca="1">IF(A454=INDIRECT($AK$4&amp;"!$A$3"),IF(I454&lt;&gt;"",I454&amp;A454,""),"")</f>
        <v/>
      </c>
    </row>
    <row r="455" spans="1:44" ht="20.100000000000001" customHeight="1">
      <c r="A455" s="11">
        <f t="shared" si="78"/>
        <v>45797</v>
      </c>
      <c r="C455" s="39"/>
      <c r="Z455" s="154" t="str">
        <f t="shared" si="79"/>
        <v/>
      </c>
      <c r="AE455" s="172">
        <f t="shared" si="77"/>
        <v>3.472222222222222E-3</v>
      </c>
      <c r="AG455" s="154" t="str">
        <f t="shared" si="80"/>
        <v/>
      </c>
      <c r="AK455" t="e">
        <f t="shared" ca="1" si="81"/>
        <v>#N/A</v>
      </c>
      <c r="AL455" t="str">
        <f t="shared" ca="1" si="82"/>
        <v/>
      </c>
      <c r="AM455" t="str">
        <f t="shared" si="83"/>
        <v/>
      </c>
      <c r="AN455" s="172">
        <f t="shared" si="84"/>
        <v>0</v>
      </c>
      <c r="AO455">
        <f t="shared" si="85"/>
        <v>0</v>
      </c>
      <c r="AP455" t="str">
        <f t="shared" ca="1" si="86"/>
        <v/>
      </c>
      <c r="AQ455" t="str">
        <f t="shared" ca="1" si="87"/>
        <v/>
      </c>
      <c r="AR455" s="33" t="str" cm="1">
        <f t="array" aca="1" ref="AR455" ca="1">IF(A455=INDIRECT($AK$4&amp;"!$A$3"),IF(I455&lt;&gt;"",I455&amp;A455,""),"")</f>
        <v/>
      </c>
    </row>
    <row r="456" spans="1:44" ht="20.100000000000001" customHeight="1">
      <c r="A456" s="11">
        <f t="shared" si="78"/>
        <v>45797</v>
      </c>
      <c r="C456" s="39"/>
      <c r="Z456" s="154" t="str">
        <f t="shared" si="79"/>
        <v/>
      </c>
      <c r="AE456" s="172">
        <f t="shared" si="77"/>
        <v>3.472222222222222E-3</v>
      </c>
      <c r="AG456" s="154" t="str">
        <f t="shared" si="80"/>
        <v/>
      </c>
      <c r="AK456" t="e">
        <f t="shared" ca="1" si="81"/>
        <v>#N/A</v>
      </c>
      <c r="AL456" t="str">
        <f t="shared" ca="1" si="82"/>
        <v/>
      </c>
      <c r="AM456" t="str">
        <f t="shared" si="83"/>
        <v/>
      </c>
      <c r="AN456" s="172">
        <f t="shared" si="84"/>
        <v>0</v>
      </c>
      <c r="AO456">
        <f t="shared" si="85"/>
        <v>0</v>
      </c>
      <c r="AP456" t="str">
        <f t="shared" ca="1" si="86"/>
        <v/>
      </c>
      <c r="AQ456" t="str">
        <f t="shared" ca="1" si="87"/>
        <v/>
      </c>
      <c r="AR456" s="33" t="str" cm="1">
        <f t="array" aca="1" ref="AR456" ca="1">IF(A456=INDIRECT($AK$4&amp;"!$A$3"),IF(I456&lt;&gt;"",I456&amp;A456,""),"")</f>
        <v/>
      </c>
    </row>
    <row r="457" spans="1:44" ht="20.100000000000001" customHeight="1">
      <c r="A457" s="11">
        <f t="shared" si="78"/>
        <v>45797</v>
      </c>
      <c r="C457" s="39"/>
      <c r="Z457" s="154" t="str">
        <f t="shared" si="79"/>
        <v/>
      </c>
      <c r="AE457" s="172">
        <f t="shared" si="77"/>
        <v>3.472222222222222E-3</v>
      </c>
      <c r="AG457" s="154" t="str">
        <f t="shared" si="80"/>
        <v/>
      </c>
      <c r="AK457" t="e">
        <f t="shared" ca="1" si="81"/>
        <v>#N/A</v>
      </c>
      <c r="AL457" t="str">
        <f t="shared" ca="1" si="82"/>
        <v/>
      </c>
      <c r="AM457" t="str">
        <f t="shared" si="83"/>
        <v/>
      </c>
      <c r="AN457" s="172">
        <f t="shared" si="84"/>
        <v>0</v>
      </c>
      <c r="AO457">
        <f t="shared" si="85"/>
        <v>0</v>
      </c>
      <c r="AP457" t="str">
        <f t="shared" ca="1" si="86"/>
        <v/>
      </c>
      <c r="AQ457" t="str">
        <f t="shared" ca="1" si="87"/>
        <v/>
      </c>
      <c r="AR457" s="33" t="str" cm="1">
        <f t="array" aca="1" ref="AR457" ca="1">IF(A457=INDIRECT($AK$4&amp;"!$A$3"),IF(I457&lt;&gt;"",I457&amp;A457,""),"")</f>
        <v/>
      </c>
    </row>
    <row r="458" spans="1:44" ht="20.100000000000001" customHeight="1">
      <c r="A458" s="11">
        <f t="shared" si="78"/>
        <v>45797</v>
      </c>
      <c r="C458" s="39"/>
      <c r="Z458" s="154" t="str">
        <f t="shared" si="79"/>
        <v/>
      </c>
      <c r="AE458" s="172">
        <f t="shared" si="77"/>
        <v>3.472222222222222E-3</v>
      </c>
      <c r="AG458" s="154" t="str">
        <f t="shared" si="80"/>
        <v/>
      </c>
      <c r="AK458" t="e">
        <f t="shared" ca="1" si="81"/>
        <v>#N/A</v>
      </c>
      <c r="AL458" t="str">
        <f t="shared" ca="1" si="82"/>
        <v/>
      </c>
      <c r="AM458" t="str">
        <f t="shared" si="83"/>
        <v/>
      </c>
      <c r="AN458" s="172">
        <f t="shared" si="84"/>
        <v>0</v>
      </c>
      <c r="AO458">
        <f t="shared" si="85"/>
        <v>0</v>
      </c>
      <c r="AP458" t="str">
        <f t="shared" ca="1" si="86"/>
        <v/>
      </c>
      <c r="AQ458" t="str">
        <f t="shared" ca="1" si="87"/>
        <v/>
      </c>
      <c r="AR458" s="33" t="str" cm="1">
        <f t="array" aca="1" ref="AR458" ca="1">IF(A458=INDIRECT($AK$4&amp;"!$A$3"),IF(I458&lt;&gt;"",I458&amp;A458,""),"")</f>
        <v/>
      </c>
    </row>
    <row r="459" spans="1:44" ht="20.100000000000001" customHeight="1">
      <c r="A459" s="11">
        <f t="shared" si="78"/>
        <v>45797</v>
      </c>
      <c r="C459" s="39"/>
      <c r="Z459" s="154" t="str">
        <f t="shared" si="79"/>
        <v/>
      </c>
      <c r="AE459" s="172">
        <f t="shared" si="77"/>
        <v>3.472222222222222E-3</v>
      </c>
      <c r="AG459" s="154" t="str">
        <f t="shared" si="80"/>
        <v/>
      </c>
      <c r="AK459" t="e">
        <f t="shared" ca="1" si="81"/>
        <v>#N/A</v>
      </c>
      <c r="AL459" t="str">
        <f t="shared" ca="1" si="82"/>
        <v/>
      </c>
      <c r="AM459" t="str">
        <f t="shared" si="83"/>
        <v/>
      </c>
      <c r="AN459" s="172">
        <f t="shared" si="84"/>
        <v>0</v>
      </c>
      <c r="AO459">
        <f t="shared" si="85"/>
        <v>0</v>
      </c>
      <c r="AP459" t="str">
        <f t="shared" ca="1" si="86"/>
        <v/>
      </c>
      <c r="AQ459" t="str">
        <f t="shared" ca="1" si="87"/>
        <v/>
      </c>
      <c r="AR459" s="33" t="str" cm="1">
        <f t="array" aca="1" ref="AR459" ca="1">IF(A459=INDIRECT($AK$4&amp;"!$A$3"),IF(I459&lt;&gt;"",I459&amp;A459,""),"")</f>
        <v/>
      </c>
    </row>
    <row r="460" spans="1:44" ht="20.100000000000001" customHeight="1">
      <c r="A460" s="11">
        <f t="shared" si="78"/>
        <v>45797</v>
      </c>
      <c r="C460" s="39"/>
      <c r="Z460" s="154" t="str">
        <f t="shared" si="79"/>
        <v/>
      </c>
      <c r="AE460" s="172">
        <f t="shared" si="77"/>
        <v>3.472222222222222E-3</v>
      </c>
      <c r="AG460" s="154" t="str">
        <f t="shared" si="80"/>
        <v/>
      </c>
      <c r="AK460" t="e">
        <f t="shared" ca="1" si="81"/>
        <v>#N/A</v>
      </c>
      <c r="AL460" t="str">
        <f t="shared" ca="1" si="82"/>
        <v/>
      </c>
      <c r="AM460" t="str">
        <f t="shared" si="83"/>
        <v/>
      </c>
      <c r="AN460" s="172">
        <f t="shared" si="84"/>
        <v>0</v>
      </c>
      <c r="AO460">
        <f t="shared" si="85"/>
        <v>0</v>
      </c>
      <c r="AP460" t="str">
        <f t="shared" ca="1" si="86"/>
        <v/>
      </c>
      <c r="AQ460" t="str">
        <f t="shared" ca="1" si="87"/>
        <v/>
      </c>
      <c r="AR460" s="33" t="str" cm="1">
        <f t="array" aca="1" ref="AR460" ca="1">IF(A460=INDIRECT($AK$4&amp;"!$A$3"),IF(I460&lt;&gt;"",I460&amp;A460,""),"")</f>
        <v/>
      </c>
    </row>
    <row r="461" spans="1:44" ht="20.100000000000001" customHeight="1">
      <c r="A461" s="11">
        <f t="shared" si="78"/>
        <v>45797</v>
      </c>
      <c r="C461" s="39"/>
      <c r="Z461" s="154" t="str">
        <f t="shared" si="79"/>
        <v/>
      </c>
      <c r="AE461" s="172">
        <f t="shared" si="77"/>
        <v>3.472222222222222E-3</v>
      </c>
      <c r="AG461" s="154" t="str">
        <f t="shared" si="80"/>
        <v/>
      </c>
      <c r="AK461" t="e">
        <f t="shared" ca="1" si="81"/>
        <v>#N/A</v>
      </c>
      <c r="AL461" t="str">
        <f t="shared" ca="1" si="82"/>
        <v/>
      </c>
      <c r="AM461" t="str">
        <f t="shared" si="83"/>
        <v/>
      </c>
      <c r="AN461" s="172">
        <f t="shared" si="84"/>
        <v>0</v>
      </c>
      <c r="AO461">
        <f t="shared" si="85"/>
        <v>0</v>
      </c>
      <c r="AP461" t="str">
        <f t="shared" ca="1" si="86"/>
        <v/>
      </c>
      <c r="AQ461" t="str">
        <f t="shared" ca="1" si="87"/>
        <v/>
      </c>
      <c r="AR461" s="33" t="str" cm="1">
        <f t="array" aca="1" ref="AR461" ca="1">IF(A461=INDIRECT($AK$4&amp;"!$A$3"),IF(I461&lt;&gt;"",I461&amp;A461,""),"")</f>
        <v/>
      </c>
    </row>
    <row r="462" spans="1:44" ht="20.100000000000001" customHeight="1">
      <c r="A462" s="11">
        <f t="shared" si="78"/>
        <v>45797</v>
      </c>
      <c r="C462" s="39"/>
      <c r="Z462" s="154" t="str">
        <f t="shared" si="79"/>
        <v/>
      </c>
      <c r="AE462" s="172">
        <f t="shared" si="77"/>
        <v>3.472222222222222E-3</v>
      </c>
      <c r="AG462" s="154" t="str">
        <f t="shared" si="80"/>
        <v/>
      </c>
      <c r="AK462" t="e">
        <f t="shared" ca="1" si="81"/>
        <v>#N/A</v>
      </c>
      <c r="AL462" t="str">
        <f t="shared" ca="1" si="82"/>
        <v/>
      </c>
      <c r="AM462" t="str">
        <f t="shared" si="83"/>
        <v/>
      </c>
      <c r="AN462" s="172">
        <f t="shared" si="84"/>
        <v>0</v>
      </c>
      <c r="AO462">
        <f t="shared" si="85"/>
        <v>0</v>
      </c>
      <c r="AP462" t="str">
        <f t="shared" ca="1" si="86"/>
        <v/>
      </c>
      <c r="AQ462" t="str">
        <f t="shared" ca="1" si="87"/>
        <v/>
      </c>
      <c r="AR462" s="33" t="str" cm="1">
        <f t="array" aca="1" ref="AR462" ca="1">IF(A462=INDIRECT($AK$4&amp;"!$A$3"),IF(I462&lt;&gt;"",I462&amp;A462,""),"")</f>
        <v/>
      </c>
    </row>
    <row r="463" spans="1:44" ht="20.100000000000001" customHeight="1">
      <c r="A463" s="11">
        <f t="shared" si="78"/>
        <v>45797</v>
      </c>
      <c r="C463" s="39"/>
      <c r="Z463" s="154" t="str">
        <f t="shared" si="79"/>
        <v/>
      </c>
      <c r="AE463" s="172">
        <f t="shared" si="77"/>
        <v>3.472222222222222E-3</v>
      </c>
      <c r="AG463" s="154" t="str">
        <f t="shared" si="80"/>
        <v/>
      </c>
      <c r="AK463" t="e">
        <f t="shared" ca="1" si="81"/>
        <v>#N/A</v>
      </c>
      <c r="AL463" t="str">
        <f t="shared" ca="1" si="82"/>
        <v/>
      </c>
      <c r="AM463" t="str">
        <f t="shared" si="83"/>
        <v/>
      </c>
      <c r="AN463" s="172">
        <f t="shared" si="84"/>
        <v>0</v>
      </c>
      <c r="AO463">
        <f t="shared" si="85"/>
        <v>0</v>
      </c>
      <c r="AP463" t="str">
        <f t="shared" ca="1" si="86"/>
        <v/>
      </c>
      <c r="AQ463" t="str">
        <f t="shared" ca="1" si="87"/>
        <v/>
      </c>
      <c r="AR463" s="33" t="str" cm="1">
        <f t="array" aca="1" ref="AR463" ca="1">IF(A463=INDIRECT($AK$4&amp;"!$A$3"),IF(I463&lt;&gt;"",I463&amp;A463,""),"")</f>
        <v/>
      </c>
    </row>
    <row r="464" spans="1:44" ht="20.100000000000001" customHeight="1">
      <c r="A464" s="11">
        <f t="shared" si="78"/>
        <v>45797</v>
      </c>
      <c r="C464" s="39"/>
      <c r="Z464" s="154" t="str">
        <f t="shared" si="79"/>
        <v/>
      </c>
      <c r="AE464" s="172">
        <f t="shared" si="77"/>
        <v>3.472222222222222E-3</v>
      </c>
      <c r="AG464" s="154" t="str">
        <f t="shared" si="80"/>
        <v/>
      </c>
      <c r="AK464" t="e">
        <f t="shared" ca="1" si="81"/>
        <v>#N/A</v>
      </c>
      <c r="AL464" t="str">
        <f t="shared" ca="1" si="82"/>
        <v/>
      </c>
      <c r="AM464" t="str">
        <f t="shared" si="83"/>
        <v/>
      </c>
      <c r="AN464" s="172">
        <f t="shared" si="84"/>
        <v>0</v>
      </c>
      <c r="AO464">
        <f t="shared" si="85"/>
        <v>0</v>
      </c>
      <c r="AP464" t="str">
        <f t="shared" ca="1" si="86"/>
        <v/>
      </c>
      <c r="AQ464" t="str">
        <f t="shared" ca="1" si="87"/>
        <v/>
      </c>
      <c r="AR464" s="33" t="str" cm="1">
        <f t="array" aca="1" ref="AR464" ca="1">IF(A464=INDIRECT($AK$4&amp;"!$A$3"),IF(I464&lt;&gt;"",I464&amp;A464,""),"")</f>
        <v/>
      </c>
    </row>
    <row r="465" spans="1:44" ht="20.100000000000001" customHeight="1">
      <c r="A465" s="11">
        <f t="shared" si="78"/>
        <v>45797</v>
      </c>
      <c r="C465" s="39"/>
      <c r="Z465" s="154" t="str">
        <f t="shared" si="79"/>
        <v/>
      </c>
      <c r="AE465" s="172">
        <f t="shared" si="77"/>
        <v>3.472222222222222E-3</v>
      </c>
      <c r="AG465" s="154" t="str">
        <f t="shared" si="80"/>
        <v/>
      </c>
      <c r="AK465" t="e">
        <f t="shared" ca="1" si="81"/>
        <v>#N/A</v>
      </c>
      <c r="AL465" t="str">
        <f t="shared" ca="1" si="82"/>
        <v/>
      </c>
      <c r="AM465" t="str">
        <f t="shared" si="83"/>
        <v/>
      </c>
      <c r="AN465" s="172">
        <f t="shared" si="84"/>
        <v>0</v>
      </c>
      <c r="AO465">
        <f t="shared" si="85"/>
        <v>0</v>
      </c>
      <c r="AP465" t="str">
        <f t="shared" ca="1" si="86"/>
        <v/>
      </c>
      <c r="AQ465" t="str">
        <f t="shared" ca="1" si="87"/>
        <v/>
      </c>
      <c r="AR465" s="33" t="str" cm="1">
        <f t="array" aca="1" ref="AR465" ca="1">IF(A465=INDIRECT($AK$4&amp;"!$A$3"),IF(I465&lt;&gt;"",I465&amp;A465,""),"")</f>
        <v/>
      </c>
    </row>
    <row r="466" spans="1:44" ht="20.100000000000001" customHeight="1">
      <c r="A466" s="11">
        <f t="shared" si="78"/>
        <v>45797</v>
      </c>
      <c r="C466" s="39"/>
      <c r="Z466" s="154" t="str">
        <f t="shared" si="79"/>
        <v/>
      </c>
      <c r="AE466" s="172">
        <f t="shared" si="77"/>
        <v>3.472222222222222E-3</v>
      </c>
      <c r="AG466" s="154" t="str">
        <f t="shared" si="80"/>
        <v/>
      </c>
      <c r="AK466" t="e">
        <f t="shared" ca="1" si="81"/>
        <v>#N/A</v>
      </c>
      <c r="AL466" t="str">
        <f t="shared" ca="1" si="82"/>
        <v/>
      </c>
      <c r="AM466" t="str">
        <f t="shared" si="83"/>
        <v/>
      </c>
      <c r="AN466" s="172">
        <f t="shared" si="84"/>
        <v>0</v>
      </c>
      <c r="AO466">
        <f t="shared" si="85"/>
        <v>0</v>
      </c>
      <c r="AP466" t="str">
        <f t="shared" ca="1" si="86"/>
        <v/>
      </c>
      <c r="AQ466" t="str">
        <f t="shared" ca="1" si="87"/>
        <v/>
      </c>
      <c r="AR466" s="33" t="str" cm="1">
        <f t="array" aca="1" ref="AR466" ca="1">IF(A466=INDIRECT($AK$4&amp;"!$A$3"),IF(I466&lt;&gt;"",I466&amp;A466,""),"")</f>
        <v/>
      </c>
    </row>
    <row r="467" spans="1:44" ht="20.100000000000001" customHeight="1">
      <c r="A467" s="11">
        <f t="shared" si="78"/>
        <v>45797</v>
      </c>
      <c r="C467" s="39"/>
      <c r="Z467" s="154" t="str">
        <f t="shared" si="79"/>
        <v/>
      </c>
      <c r="AE467" s="172">
        <f t="shared" si="77"/>
        <v>3.472222222222222E-3</v>
      </c>
      <c r="AG467" s="154" t="str">
        <f t="shared" si="80"/>
        <v/>
      </c>
      <c r="AK467" t="e">
        <f t="shared" ca="1" si="81"/>
        <v>#N/A</v>
      </c>
      <c r="AL467" t="str">
        <f t="shared" ca="1" si="82"/>
        <v/>
      </c>
      <c r="AM467" t="str">
        <f t="shared" si="83"/>
        <v/>
      </c>
      <c r="AN467" s="172">
        <f t="shared" si="84"/>
        <v>0</v>
      </c>
      <c r="AO467">
        <f t="shared" si="85"/>
        <v>0</v>
      </c>
      <c r="AP467" t="str">
        <f t="shared" ca="1" si="86"/>
        <v/>
      </c>
      <c r="AQ467" t="str">
        <f t="shared" ca="1" si="87"/>
        <v/>
      </c>
      <c r="AR467" s="33" t="str" cm="1">
        <f t="array" aca="1" ref="AR467" ca="1">IF(A467=INDIRECT($AK$4&amp;"!$A$3"),IF(I467&lt;&gt;"",I467&amp;A467,""),"")</f>
        <v/>
      </c>
    </row>
    <row r="468" spans="1:44" ht="20.100000000000001" customHeight="1">
      <c r="A468" s="11">
        <f t="shared" si="78"/>
        <v>45797</v>
      </c>
      <c r="C468" s="39"/>
      <c r="Z468" s="154" t="str">
        <f t="shared" si="79"/>
        <v/>
      </c>
      <c r="AE468" s="172">
        <f t="shared" si="77"/>
        <v>3.472222222222222E-3</v>
      </c>
      <c r="AG468" s="154" t="str">
        <f t="shared" si="80"/>
        <v/>
      </c>
      <c r="AK468" t="e">
        <f t="shared" ca="1" si="81"/>
        <v>#N/A</v>
      </c>
      <c r="AL468" t="str">
        <f t="shared" ca="1" si="82"/>
        <v/>
      </c>
      <c r="AM468" t="str">
        <f t="shared" si="83"/>
        <v/>
      </c>
      <c r="AN468" s="172">
        <f t="shared" si="84"/>
        <v>0</v>
      </c>
      <c r="AO468">
        <f t="shared" si="85"/>
        <v>0</v>
      </c>
      <c r="AP468" t="str">
        <f t="shared" ca="1" si="86"/>
        <v/>
      </c>
      <c r="AQ468" t="str">
        <f t="shared" ca="1" si="87"/>
        <v/>
      </c>
      <c r="AR468" s="33" t="str" cm="1">
        <f t="array" aca="1" ref="AR468" ca="1">IF(A468=INDIRECT($AK$4&amp;"!$A$3"),IF(I468&lt;&gt;"",I468&amp;A468,""),"")</f>
        <v/>
      </c>
    </row>
    <row r="469" spans="1:44" ht="20.100000000000001" customHeight="1">
      <c r="A469" s="11">
        <f t="shared" si="78"/>
        <v>45797</v>
      </c>
      <c r="C469" s="39"/>
      <c r="Z469" s="154" t="str">
        <f t="shared" si="79"/>
        <v/>
      </c>
      <c r="AE469" s="172">
        <f t="shared" si="77"/>
        <v>3.472222222222222E-3</v>
      </c>
      <c r="AG469" s="154" t="str">
        <f t="shared" si="80"/>
        <v/>
      </c>
      <c r="AK469" t="e">
        <f t="shared" ca="1" si="81"/>
        <v>#N/A</v>
      </c>
      <c r="AL469" t="str">
        <f t="shared" ca="1" si="82"/>
        <v/>
      </c>
      <c r="AM469" t="str">
        <f t="shared" si="83"/>
        <v/>
      </c>
      <c r="AN469" s="172">
        <f t="shared" si="84"/>
        <v>0</v>
      </c>
      <c r="AO469">
        <f t="shared" si="85"/>
        <v>0</v>
      </c>
      <c r="AP469" t="str">
        <f t="shared" ca="1" si="86"/>
        <v/>
      </c>
      <c r="AQ469" t="str">
        <f t="shared" ca="1" si="87"/>
        <v/>
      </c>
      <c r="AR469" s="33" t="str" cm="1">
        <f t="array" aca="1" ref="AR469" ca="1">IF(A469=INDIRECT($AK$4&amp;"!$A$3"),IF(I469&lt;&gt;"",I469&amp;A469,""),"")</f>
        <v/>
      </c>
    </row>
    <row r="470" spans="1:44" ht="20.100000000000001" customHeight="1">
      <c r="A470" s="11">
        <f t="shared" si="78"/>
        <v>45797</v>
      </c>
      <c r="C470" s="39"/>
      <c r="Z470" s="154" t="str">
        <f t="shared" si="79"/>
        <v/>
      </c>
      <c r="AE470" s="172">
        <f t="shared" si="77"/>
        <v>3.472222222222222E-3</v>
      </c>
      <c r="AG470" s="154" t="str">
        <f t="shared" si="80"/>
        <v/>
      </c>
      <c r="AK470" t="e">
        <f t="shared" ca="1" si="81"/>
        <v>#N/A</v>
      </c>
      <c r="AL470" t="str">
        <f t="shared" ca="1" si="82"/>
        <v/>
      </c>
      <c r="AM470" t="str">
        <f t="shared" si="83"/>
        <v/>
      </c>
      <c r="AN470" s="172">
        <f t="shared" si="84"/>
        <v>0</v>
      </c>
      <c r="AO470">
        <f t="shared" si="85"/>
        <v>0</v>
      </c>
      <c r="AP470" t="str">
        <f t="shared" ca="1" si="86"/>
        <v/>
      </c>
      <c r="AQ470" t="str">
        <f t="shared" ca="1" si="87"/>
        <v/>
      </c>
      <c r="AR470" s="33" t="str" cm="1">
        <f t="array" aca="1" ref="AR470" ca="1">IF(A470=INDIRECT($AK$4&amp;"!$A$3"),IF(I470&lt;&gt;"",I470&amp;A470,""),"")</f>
        <v/>
      </c>
    </row>
    <row r="471" spans="1:44" ht="20.100000000000001" customHeight="1">
      <c r="A471" s="11">
        <f t="shared" si="78"/>
        <v>45797</v>
      </c>
      <c r="C471" s="39"/>
      <c r="Z471" s="154" t="str">
        <f t="shared" si="79"/>
        <v/>
      </c>
      <c r="AE471" s="172">
        <f t="shared" si="77"/>
        <v>3.472222222222222E-3</v>
      </c>
      <c r="AG471" s="154" t="str">
        <f t="shared" si="80"/>
        <v/>
      </c>
      <c r="AK471" t="e">
        <f t="shared" ca="1" si="81"/>
        <v>#N/A</v>
      </c>
      <c r="AL471" t="str">
        <f t="shared" ca="1" si="82"/>
        <v/>
      </c>
      <c r="AM471" t="str">
        <f t="shared" si="83"/>
        <v/>
      </c>
      <c r="AN471" s="172">
        <f t="shared" si="84"/>
        <v>0</v>
      </c>
      <c r="AO471">
        <f t="shared" si="85"/>
        <v>0</v>
      </c>
      <c r="AP471" t="str">
        <f t="shared" ca="1" si="86"/>
        <v/>
      </c>
      <c r="AQ471" t="str">
        <f t="shared" ca="1" si="87"/>
        <v/>
      </c>
      <c r="AR471" s="33" t="str" cm="1">
        <f t="array" aca="1" ref="AR471" ca="1">IF(A471=INDIRECT($AK$4&amp;"!$A$3"),IF(I471&lt;&gt;"",I471&amp;A471,""),"")</f>
        <v/>
      </c>
    </row>
    <row r="472" spans="1:44" ht="20.100000000000001" customHeight="1">
      <c r="A472" s="11">
        <f t="shared" si="78"/>
        <v>45797</v>
      </c>
      <c r="C472" s="39"/>
      <c r="Z472" s="154" t="str">
        <f t="shared" si="79"/>
        <v/>
      </c>
      <c r="AE472" s="172">
        <f t="shared" si="77"/>
        <v>3.472222222222222E-3</v>
      </c>
      <c r="AG472" s="154" t="str">
        <f t="shared" si="80"/>
        <v/>
      </c>
      <c r="AK472" t="e">
        <f t="shared" ca="1" si="81"/>
        <v>#N/A</v>
      </c>
      <c r="AL472" t="str">
        <f t="shared" ca="1" si="82"/>
        <v/>
      </c>
      <c r="AM472" t="str">
        <f t="shared" si="83"/>
        <v/>
      </c>
      <c r="AN472" s="172">
        <f t="shared" si="84"/>
        <v>0</v>
      </c>
      <c r="AO472">
        <f t="shared" si="85"/>
        <v>0</v>
      </c>
      <c r="AP472" t="str">
        <f t="shared" ca="1" si="86"/>
        <v/>
      </c>
      <c r="AQ472" t="str">
        <f t="shared" ca="1" si="87"/>
        <v/>
      </c>
      <c r="AR472" s="33" t="str" cm="1">
        <f t="array" aca="1" ref="AR472" ca="1">IF(A472=INDIRECT($AK$4&amp;"!$A$3"),IF(I472&lt;&gt;"",I472&amp;A472,""),"")</f>
        <v/>
      </c>
    </row>
    <row r="473" spans="1:44" ht="20.100000000000001" customHeight="1">
      <c r="A473" s="11">
        <f t="shared" si="78"/>
        <v>45797</v>
      </c>
      <c r="C473" s="39"/>
      <c r="Z473" s="154" t="str">
        <f t="shared" si="79"/>
        <v/>
      </c>
      <c r="AE473" s="172">
        <f t="shared" si="77"/>
        <v>3.472222222222222E-3</v>
      </c>
      <c r="AG473" s="154" t="str">
        <f t="shared" si="80"/>
        <v/>
      </c>
      <c r="AK473" t="e">
        <f t="shared" ca="1" si="81"/>
        <v>#N/A</v>
      </c>
      <c r="AL473" t="str">
        <f t="shared" ca="1" si="82"/>
        <v/>
      </c>
      <c r="AM473" t="str">
        <f t="shared" si="83"/>
        <v/>
      </c>
      <c r="AN473" s="172">
        <f t="shared" si="84"/>
        <v>0</v>
      </c>
      <c r="AO473">
        <f t="shared" si="85"/>
        <v>0</v>
      </c>
      <c r="AP473" t="str">
        <f t="shared" ca="1" si="86"/>
        <v/>
      </c>
      <c r="AQ473" t="str">
        <f t="shared" ca="1" si="87"/>
        <v/>
      </c>
      <c r="AR473" s="33" t="str" cm="1">
        <f t="array" aca="1" ref="AR473" ca="1">IF(A473=INDIRECT($AK$4&amp;"!$A$3"),IF(I473&lt;&gt;"",I473&amp;A473,""),"")</f>
        <v/>
      </c>
    </row>
    <row r="474" spans="1:44" ht="20.100000000000001" customHeight="1">
      <c r="A474" s="11">
        <f t="shared" si="78"/>
        <v>45797</v>
      </c>
      <c r="C474" s="39"/>
      <c r="Z474" s="154" t="str">
        <f t="shared" si="79"/>
        <v/>
      </c>
      <c r="AE474" s="172">
        <f t="shared" si="77"/>
        <v>3.472222222222222E-3</v>
      </c>
      <c r="AG474" s="154" t="str">
        <f t="shared" si="80"/>
        <v/>
      </c>
      <c r="AK474" t="e">
        <f t="shared" ca="1" si="81"/>
        <v>#N/A</v>
      </c>
      <c r="AL474" t="str">
        <f t="shared" ca="1" si="82"/>
        <v/>
      </c>
      <c r="AM474" t="str">
        <f t="shared" si="83"/>
        <v/>
      </c>
      <c r="AN474" s="172">
        <f t="shared" si="84"/>
        <v>0</v>
      </c>
      <c r="AO474">
        <f t="shared" si="85"/>
        <v>0</v>
      </c>
      <c r="AP474" t="str">
        <f t="shared" ca="1" si="86"/>
        <v/>
      </c>
      <c r="AQ474" t="str">
        <f t="shared" ca="1" si="87"/>
        <v/>
      </c>
      <c r="AR474" s="33" t="str" cm="1">
        <f t="array" aca="1" ref="AR474" ca="1">IF(A474=INDIRECT($AK$4&amp;"!$A$3"),IF(I474&lt;&gt;"",I474&amp;A474,""),"")</f>
        <v/>
      </c>
    </row>
    <row r="475" spans="1:44" ht="20.100000000000001" customHeight="1">
      <c r="A475" s="11">
        <f t="shared" si="78"/>
        <v>45797</v>
      </c>
      <c r="C475" s="39"/>
      <c r="Z475" s="154" t="str">
        <f t="shared" si="79"/>
        <v/>
      </c>
      <c r="AE475" s="172">
        <f t="shared" si="77"/>
        <v>3.472222222222222E-3</v>
      </c>
      <c r="AG475" s="154" t="str">
        <f t="shared" si="80"/>
        <v/>
      </c>
      <c r="AK475" t="e">
        <f t="shared" ca="1" si="81"/>
        <v>#N/A</v>
      </c>
      <c r="AL475" t="str">
        <f t="shared" ca="1" si="82"/>
        <v/>
      </c>
      <c r="AM475" t="str">
        <f t="shared" si="83"/>
        <v/>
      </c>
      <c r="AN475" s="172">
        <f t="shared" si="84"/>
        <v>0</v>
      </c>
      <c r="AO475">
        <f t="shared" si="85"/>
        <v>0</v>
      </c>
      <c r="AP475" t="str">
        <f t="shared" ca="1" si="86"/>
        <v/>
      </c>
      <c r="AQ475" t="str">
        <f t="shared" ca="1" si="87"/>
        <v/>
      </c>
      <c r="AR475" s="33" t="str" cm="1">
        <f t="array" aca="1" ref="AR475" ca="1">IF(A475=INDIRECT($AK$4&amp;"!$A$3"),IF(I475&lt;&gt;"",I475&amp;A475,""),"")</f>
        <v/>
      </c>
    </row>
    <row r="476" spans="1:44" ht="20.100000000000001" customHeight="1">
      <c r="A476" s="11">
        <f t="shared" si="78"/>
        <v>45797</v>
      </c>
      <c r="C476" s="39"/>
      <c r="Z476" s="154" t="str">
        <f t="shared" si="79"/>
        <v/>
      </c>
      <c r="AE476" s="172">
        <f t="shared" si="77"/>
        <v>3.472222222222222E-3</v>
      </c>
      <c r="AG476" s="154" t="str">
        <f t="shared" si="80"/>
        <v/>
      </c>
      <c r="AK476" t="e">
        <f t="shared" ca="1" si="81"/>
        <v>#N/A</v>
      </c>
      <c r="AL476" t="str">
        <f t="shared" ca="1" si="82"/>
        <v/>
      </c>
      <c r="AM476" t="str">
        <f t="shared" si="83"/>
        <v/>
      </c>
      <c r="AN476" s="172">
        <f t="shared" si="84"/>
        <v>0</v>
      </c>
      <c r="AO476">
        <f t="shared" si="85"/>
        <v>0</v>
      </c>
      <c r="AP476" t="str">
        <f t="shared" ca="1" si="86"/>
        <v/>
      </c>
      <c r="AQ476" t="str">
        <f t="shared" ca="1" si="87"/>
        <v/>
      </c>
      <c r="AR476" s="33" t="str" cm="1">
        <f t="array" aca="1" ref="AR476" ca="1">IF(A476=INDIRECT($AK$4&amp;"!$A$3"),IF(I476&lt;&gt;"",I476&amp;A476,""),"")</f>
        <v/>
      </c>
    </row>
    <row r="477" spans="1:44" ht="20.100000000000001" customHeight="1">
      <c r="A477" s="11">
        <f t="shared" si="78"/>
        <v>45797</v>
      </c>
      <c r="C477" s="39"/>
      <c r="Z477" s="154" t="str">
        <f t="shared" si="79"/>
        <v/>
      </c>
      <c r="AE477" s="172">
        <f t="shared" si="77"/>
        <v>3.472222222222222E-3</v>
      </c>
      <c r="AG477" s="154" t="str">
        <f t="shared" si="80"/>
        <v/>
      </c>
      <c r="AK477" t="e">
        <f t="shared" ca="1" si="81"/>
        <v>#N/A</v>
      </c>
      <c r="AL477" t="str">
        <f t="shared" ca="1" si="82"/>
        <v/>
      </c>
      <c r="AM477" t="str">
        <f t="shared" si="83"/>
        <v/>
      </c>
      <c r="AN477" s="172">
        <f t="shared" si="84"/>
        <v>0</v>
      </c>
      <c r="AO477">
        <f t="shared" si="85"/>
        <v>0</v>
      </c>
      <c r="AP477" t="str">
        <f t="shared" ca="1" si="86"/>
        <v/>
      </c>
      <c r="AQ477" t="str">
        <f t="shared" ca="1" si="87"/>
        <v/>
      </c>
      <c r="AR477" s="33" t="str" cm="1">
        <f t="array" aca="1" ref="AR477" ca="1">IF(A477=INDIRECT($AK$4&amp;"!$A$3"),IF(I477&lt;&gt;"",I477&amp;A477,""),"")</f>
        <v/>
      </c>
    </row>
    <row r="478" spans="1:44" ht="20.100000000000001" customHeight="1">
      <c r="A478" s="11">
        <f t="shared" si="78"/>
        <v>45797</v>
      </c>
      <c r="C478" s="39"/>
      <c r="Z478" s="154" t="str">
        <f t="shared" si="79"/>
        <v/>
      </c>
      <c r="AE478" s="172">
        <f t="shared" si="77"/>
        <v>3.472222222222222E-3</v>
      </c>
      <c r="AG478" s="154" t="str">
        <f t="shared" si="80"/>
        <v/>
      </c>
      <c r="AK478" t="e">
        <f t="shared" ca="1" si="81"/>
        <v>#N/A</v>
      </c>
      <c r="AL478" t="str">
        <f t="shared" ca="1" si="82"/>
        <v/>
      </c>
      <c r="AM478" t="str">
        <f t="shared" si="83"/>
        <v/>
      </c>
      <c r="AN478" s="172">
        <f t="shared" si="84"/>
        <v>0</v>
      </c>
      <c r="AO478">
        <f t="shared" si="85"/>
        <v>0</v>
      </c>
      <c r="AP478" t="str">
        <f t="shared" ca="1" si="86"/>
        <v/>
      </c>
      <c r="AQ478" t="str">
        <f t="shared" ca="1" si="87"/>
        <v/>
      </c>
      <c r="AR478" s="33" t="str" cm="1">
        <f t="array" aca="1" ref="AR478" ca="1">IF(A478=INDIRECT($AK$4&amp;"!$A$3"),IF(I478&lt;&gt;"",I478&amp;A478,""),"")</f>
        <v/>
      </c>
    </row>
    <row r="479" spans="1:44" ht="20.100000000000001" customHeight="1">
      <c r="A479" s="11">
        <f t="shared" si="78"/>
        <v>45797</v>
      </c>
      <c r="C479" s="39"/>
      <c r="Z479" s="154" t="str">
        <f t="shared" si="79"/>
        <v/>
      </c>
      <c r="AE479" s="172">
        <f t="shared" si="77"/>
        <v>3.472222222222222E-3</v>
      </c>
      <c r="AG479" s="154" t="str">
        <f t="shared" si="80"/>
        <v/>
      </c>
      <c r="AK479" t="e">
        <f t="shared" ca="1" si="81"/>
        <v>#N/A</v>
      </c>
      <c r="AL479" t="str">
        <f t="shared" ca="1" si="82"/>
        <v/>
      </c>
      <c r="AM479" t="str">
        <f t="shared" si="83"/>
        <v/>
      </c>
      <c r="AN479" s="172">
        <f t="shared" si="84"/>
        <v>0</v>
      </c>
      <c r="AO479">
        <f t="shared" si="85"/>
        <v>0</v>
      </c>
      <c r="AP479" t="str">
        <f t="shared" ca="1" si="86"/>
        <v/>
      </c>
      <c r="AQ479" t="str">
        <f t="shared" ca="1" si="87"/>
        <v/>
      </c>
      <c r="AR479" s="33" t="str" cm="1">
        <f t="array" aca="1" ref="AR479" ca="1">IF(A479=INDIRECT($AK$4&amp;"!$A$3"),IF(I479&lt;&gt;"",I479&amp;A479,""),"")</f>
        <v/>
      </c>
    </row>
    <row r="480" spans="1:44" ht="20.100000000000001" customHeight="1">
      <c r="A480" s="11">
        <f t="shared" si="78"/>
        <v>45797</v>
      </c>
      <c r="C480" s="39"/>
      <c r="Z480" s="154" t="str">
        <f t="shared" si="79"/>
        <v/>
      </c>
      <c r="AE480" s="172">
        <f t="shared" si="77"/>
        <v>3.472222222222222E-3</v>
      </c>
      <c r="AG480" s="154" t="str">
        <f t="shared" si="80"/>
        <v/>
      </c>
      <c r="AK480" t="e">
        <f t="shared" ca="1" si="81"/>
        <v>#N/A</v>
      </c>
      <c r="AL480" t="str">
        <f t="shared" ca="1" si="82"/>
        <v/>
      </c>
      <c r="AM480" t="str">
        <f t="shared" si="83"/>
        <v/>
      </c>
      <c r="AN480" s="172">
        <f t="shared" si="84"/>
        <v>0</v>
      </c>
      <c r="AO480">
        <f t="shared" si="85"/>
        <v>0</v>
      </c>
      <c r="AP480" t="str">
        <f t="shared" ca="1" si="86"/>
        <v/>
      </c>
      <c r="AQ480" t="str">
        <f t="shared" ca="1" si="87"/>
        <v/>
      </c>
      <c r="AR480" s="33" t="str" cm="1">
        <f t="array" aca="1" ref="AR480" ca="1">IF(A480=INDIRECT($AK$4&amp;"!$A$3"),IF(I480&lt;&gt;"",I480&amp;A480,""),"")</f>
        <v/>
      </c>
    </row>
    <row r="481" spans="1:44" ht="20.100000000000001" customHeight="1">
      <c r="A481" s="11">
        <f t="shared" si="78"/>
        <v>45797</v>
      </c>
      <c r="C481" s="39"/>
      <c r="Z481" s="154" t="str">
        <f t="shared" si="79"/>
        <v/>
      </c>
      <c r="AE481" s="172">
        <f t="shared" si="77"/>
        <v>3.472222222222222E-3</v>
      </c>
      <c r="AG481" s="154" t="str">
        <f t="shared" si="80"/>
        <v/>
      </c>
      <c r="AK481" t="e">
        <f t="shared" ca="1" si="81"/>
        <v>#N/A</v>
      </c>
      <c r="AL481" t="str">
        <f t="shared" ca="1" si="82"/>
        <v/>
      </c>
      <c r="AM481" t="str">
        <f t="shared" si="83"/>
        <v/>
      </c>
      <c r="AN481" s="172">
        <f t="shared" si="84"/>
        <v>0</v>
      </c>
      <c r="AO481">
        <f t="shared" si="85"/>
        <v>0</v>
      </c>
      <c r="AP481" t="str">
        <f t="shared" ca="1" si="86"/>
        <v/>
      </c>
      <c r="AQ481" t="str">
        <f t="shared" ca="1" si="87"/>
        <v/>
      </c>
      <c r="AR481" s="33" t="str" cm="1">
        <f t="array" aca="1" ref="AR481" ca="1">IF(A481=INDIRECT($AK$4&amp;"!$A$3"),IF(I481&lt;&gt;"",I481&amp;A481,""),"")</f>
        <v/>
      </c>
    </row>
    <row r="482" spans="1:44" ht="20.100000000000001" customHeight="1">
      <c r="A482" s="11">
        <f t="shared" si="78"/>
        <v>45797</v>
      </c>
      <c r="C482" s="39"/>
      <c r="Z482" s="154" t="str">
        <f t="shared" si="79"/>
        <v/>
      </c>
      <c r="AE482" s="172">
        <f t="shared" si="77"/>
        <v>3.472222222222222E-3</v>
      </c>
      <c r="AG482" s="154" t="str">
        <f t="shared" si="80"/>
        <v/>
      </c>
      <c r="AK482" t="e">
        <f t="shared" ca="1" si="81"/>
        <v>#N/A</v>
      </c>
      <c r="AL482" t="str">
        <f t="shared" ca="1" si="82"/>
        <v/>
      </c>
      <c r="AM482" t="str">
        <f t="shared" si="83"/>
        <v/>
      </c>
      <c r="AN482" s="172">
        <f t="shared" si="84"/>
        <v>0</v>
      </c>
      <c r="AO482">
        <f t="shared" si="85"/>
        <v>0</v>
      </c>
      <c r="AP482" t="str">
        <f t="shared" ca="1" si="86"/>
        <v/>
      </c>
      <c r="AQ482" t="str">
        <f t="shared" ca="1" si="87"/>
        <v/>
      </c>
      <c r="AR482" s="33" t="str" cm="1">
        <f t="array" aca="1" ref="AR482" ca="1">IF(A482=INDIRECT($AK$4&amp;"!$A$3"),IF(I482&lt;&gt;"",I482&amp;A482,""),"")</f>
        <v/>
      </c>
    </row>
    <row r="483" spans="1:44" ht="20.100000000000001" customHeight="1">
      <c r="A483" s="11">
        <f t="shared" si="78"/>
        <v>45797</v>
      </c>
      <c r="C483" s="39"/>
      <c r="Z483" s="154" t="str">
        <f t="shared" si="79"/>
        <v/>
      </c>
      <c r="AE483" s="172">
        <f t="shared" si="77"/>
        <v>3.472222222222222E-3</v>
      </c>
      <c r="AG483" s="154" t="str">
        <f t="shared" si="80"/>
        <v/>
      </c>
      <c r="AK483" t="e">
        <f t="shared" ca="1" si="81"/>
        <v>#N/A</v>
      </c>
      <c r="AL483" t="str">
        <f t="shared" ca="1" si="82"/>
        <v/>
      </c>
      <c r="AM483" t="str">
        <f t="shared" si="83"/>
        <v/>
      </c>
      <c r="AN483" s="172">
        <f t="shared" si="84"/>
        <v>0</v>
      </c>
      <c r="AO483">
        <f t="shared" si="85"/>
        <v>0</v>
      </c>
      <c r="AP483" t="str">
        <f t="shared" ca="1" si="86"/>
        <v/>
      </c>
      <c r="AQ483" t="str">
        <f t="shared" ca="1" si="87"/>
        <v/>
      </c>
      <c r="AR483" s="33" t="str" cm="1">
        <f t="array" aca="1" ref="AR483" ca="1">IF(A483=INDIRECT($AK$4&amp;"!$A$3"),IF(I483&lt;&gt;"",I483&amp;A483,""),"")</f>
        <v/>
      </c>
    </row>
    <row r="484" spans="1:44" ht="20.100000000000001" customHeight="1">
      <c r="A484" s="11">
        <f t="shared" si="78"/>
        <v>45797</v>
      </c>
      <c r="C484" s="39"/>
      <c r="Z484" s="154" t="str">
        <f t="shared" si="79"/>
        <v/>
      </c>
      <c r="AE484" s="172">
        <f t="shared" si="77"/>
        <v>3.472222222222222E-3</v>
      </c>
      <c r="AG484" s="154" t="str">
        <f t="shared" si="80"/>
        <v/>
      </c>
      <c r="AK484" t="e">
        <f t="shared" ca="1" si="81"/>
        <v>#N/A</v>
      </c>
      <c r="AL484" t="str">
        <f t="shared" ca="1" si="82"/>
        <v/>
      </c>
      <c r="AM484" t="str">
        <f t="shared" si="83"/>
        <v/>
      </c>
      <c r="AN484" s="172">
        <f t="shared" si="84"/>
        <v>0</v>
      </c>
      <c r="AO484">
        <f t="shared" si="85"/>
        <v>0</v>
      </c>
      <c r="AP484" t="str">
        <f t="shared" ca="1" si="86"/>
        <v/>
      </c>
      <c r="AQ484" t="str">
        <f t="shared" ca="1" si="87"/>
        <v/>
      </c>
      <c r="AR484" s="33" t="str" cm="1">
        <f t="array" aca="1" ref="AR484" ca="1">IF(A484=INDIRECT($AK$4&amp;"!$A$3"),IF(I484&lt;&gt;"",I484&amp;A484,""),"")</f>
        <v/>
      </c>
    </row>
    <row r="485" spans="1:44" ht="20.100000000000001" customHeight="1">
      <c r="A485" s="11">
        <f t="shared" si="78"/>
        <v>45797</v>
      </c>
      <c r="C485" s="39"/>
      <c r="Z485" s="154" t="str">
        <f t="shared" si="79"/>
        <v/>
      </c>
      <c r="AE485" s="172">
        <f t="shared" si="77"/>
        <v>3.472222222222222E-3</v>
      </c>
      <c r="AG485" s="154" t="str">
        <f t="shared" si="80"/>
        <v/>
      </c>
      <c r="AK485" t="e">
        <f t="shared" ca="1" si="81"/>
        <v>#N/A</v>
      </c>
      <c r="AL485" t="str">
        <f t="shared" ca="1" si="82"/>
        <v/>
      </c>
      <c r="AM485" t="str">
        <f t="shared" si="83"/>
        <v/>
      </c>
      <c r="AN485" s="172">
        <f t="shared" si="84"/>
        <v>0</v>
      </c>
      <c r="AO485">
        <f t="shared" si="85"/>
        <v>0</v>
      </c>
      <c r="AP485" t="str">
        <f t="shared" ca="1" si="86"/>
        <v/>
      </c>
      <c r="AQ485" t="str">
        <f t="shared" ca="1" si="87"/>
        <v/>
      </c>
      <c r="AR485" s="33" t="str" cm="1">
        <f t="array" aca="1" ref="AR485" ca="1">IF(A485=INDIRECT($AK$4&amp;"!$A$3"),IF(I485&lt;&gt;"",I485&amp;A485,""),"")</f>
        <v/>
      </c>
    </row>
    <row r="486" spans="1:44" ht="20.100000000000001" customHeight="1">
      <c r="A486" s="11">
        <f t="shared" si="78"/>
        <v>45797</v>
      </c>
      <c r="C486" s="39"/>
      <c r="Z486" s="154" t="str">
        <f t="shared" si="79"/>
        <v/>
      </c>
      <c r="AE486" s="172">
        <f t="shared" si="77"/>
        <v>3.472222222222222E-3</v>
      </c>
      <c r="AG486" s="154" t="str">
        <f t="shared" si="80"/>
        <v/>
      </c>
      <c r="AK486" t="e">
        <f t="shared" ca="1" si="81"/>
        <v>#N/A</v>
      </c>
      <c r="AL486" t="str">
        <f t="shared" ca="1" si="82"/>
        <v/>
      </c>
      <c r="AM486" t="str">
        <f t="shared" si="83"/>
        <v/>
      </c>
      <c r="AN486" s="172">
        <f t="shared" si="84"/>
        <v>0</v>
      </c>
      <c r="AO486">
        <f t="shared" si="85"/>
        <v>0</v>
      </c>
      <c r="AP486" t="str">
        <f t="shared" ca="1" si="86"/>
        <v/>
      </c>
      <c r="AQ486" t="str">
        <f t="shared" ca="1" si="87"/>
        <v/>
      </c>
      <c r="AR486" s="33" t="str" cm="1">
        <f t="array" aca="1" ref="AR486" ca="1">IF(A486=INDIRECT($AK$4&amp;"!$A$3"),IF(I486&lt;&gt;"",I486&amp;A486,""),"")</f>
        <v/>
      </c>
    </row>
    <row r="487" spans="1:44" ht="20.100000000000001" customHeight="1">
      <c r="A487" s="11">
        <f t="shared" si="78"/>
        <v>45797</v>
      </c>
      <c r="C487" s="39"/>
      <c r="Z487" s="154" t="str">
        <f t="shared" si="79"/>
        <v/>
      </c>
      <c r="AE487" s="172">
        <f t="shared" si="77"/>
        <v>3.472222222222222E-3</v>
      </c>
      <c r="AG487" s="154" t="str">
        <f t="shared" si="80"/>
        <v/>
      </c>
      <c r="AK487" t="e">
        <f t="shared" ca="1" si="81"/>
        <v>#N/A</v>
      </c>
      <c r="AL487" t="str">
        <f t="shared" ca="1" si="82"/>
        <v/>
      </c>
      <c r="AM487" t="str">
        <f t="shared" si="83"/>
        <v/>
      </c>
      <c r="AN487" s="172">
        <f t="shared" si="84"/>
        <v>0</v>
      </c>
      <c r="AO487">
        <f t="shared" si="85"/>
        <v>0</v>
      </c>
      <c r="AP487" t="str">
        <f t="shared" ca="1" si="86"/>
        <v/>
      </c>
      <c r="AQ487" t="str">
        <f t="shared" ca="1" si="87"/>
        <v/>
      </c>
      <c r="AR487" s="33" t="str" cm="1">
        <f t="array" aca="1" ref="AR487" ca="1">IF(A487=INDIRECT($AK$4&amp;"!$A$3"),IF(I487&lt;&gt;"",I487&amp;A487,""),"")</f>
        <v/>
      </c>
    </row>
    <row r="488" spans="1:44" ht="20.100000000000001" customHeight="1">
      <c r="A488" s="11">
        <f t="shared" si="78"/>
        <v>45797</v>
      </c>
      <c r="C488" s="39"/>
      <c r="Z488" s="154" t="str">
        <f t="shared" si="79"/>
        <v/>
      </c>
      <c r="AE488" s="172">
        <f t="shared" si="77"/>
        <v>3.472222222222222E-3</v>
      </c>
      <c r="AG488" s="154" t="str">
        <f t="shared" si="80"/>
        <v/>
      </c>
      <c r="AK488" t="e">
        <f t="shared" ca="1" si="81"/>
        <v>#N/A</v>
      </c>
      <c r="AL488" t="str">
        <f t="shared" ca="1" si="82"/>
        <v/>
      </c>
      <c r="AM488" t="str">
        <f t="shared" si="83"/>
        <v/>
      </c>
      <c r="AN488" s="172">
        <f t="shared" si="84"/>
        <v>0</v>
      </c>
      <c r="AO488">
        <f t="shared" si="85"/>
        <v>0</v>
      </c>
      <c r="AP488" t="str">
        <f t="shared" ca="1" si="86"/>
        <v/>
      </c>
      <c r="AQ488" t="str">
        <f t="shared" ca="1" si="87"/>
        <v/>
      </c>
      <c r="AR488" s="33" t="str" cm="1">
        <f t="array" aca="1" ref="AR488" ca="1">IF(A488=INDIRECT($AK$4&amp;"!$A$3"),IF(I488&lt;&gt;"",I488&amp;A488,""),"")</f>
        <v/>
      </c>
    </row>
    <row r="489" spans="1:44" ht="20.100000000000001" customHeight="1">
      <c r="A489" s="11">
        <f t="shared" si="78"/>
        <v>45797</v>
      </c>
      <c r="C489" s="39"/>
      <c r="Z489" s="154" t="str">
        <f t="shared" si="79"/>
        <v/>
      </c>
      <c r="AE489" s="172">
        <f t="shared" si="77"/>
        <v>3.472222222222222E-3</v>
      </c>
      <c r="AG489" s="154" t="str">
        <f t="shared" si="80"/>
        <v/>
      </c>
      <c r="AK489" t="e">
        <f t="shared" ca="1" si="81"/>
        <v>#N/A</v>
      </c>
      <c r="AL489" t="str">
        <f t="shared" ca="1" si="82"/>
        <v/>
      </c>
      <c r="AM489" t="str">
        <f t="shared" si="83"/>
        <v/>
      </c>
      <c r="AN489" s="172">
        <f t="shared" si="84"/>
        <v>0</v>
      </c>
      <c r="AO489">
        <f t="shared" si="85"/>
        <v>0</v>
      </c>
      <c r="AP489" t="str">
        <f t="shared" ca="1" si="86"/>
        <v/>
      </c>
      <c r="AQ489" t="str">
        <f t="shared" ca="1" si="87"/>
        <v/>
      </c>
      <c r="AR489" s="33" t="str" cm="1">
        <f t="array" aca="1" ref="AR489" ca="1">IF(A489=INDIRECT($AK$4&amp;"!$A$3"),IF(I489&lt;&gt;"",I489&amp;A489,""),"")</f>
        <v/>
      </c>
    </row>
    <row r="490" spans="1:44" ht="20.100000000000001" customHeight="1">
      <c r="A490" s="11">
        <f t="shared" si="78"/>
        <v>45797</v>
      </c>
      <c r="C490" s="39"/>
      <c r="Z490" s="154" t="str">
        <f t="shared" si="79"/>
        <v/>
      </c>
      <c r="AE490" s="172">
        <f t="shared" si="77"/>
        <v>3.472222222222222E-3</v>
      </c>
      <c r="AG490" s="154" t="str">
        <f t="shared" si="80"/>
        <v/>
      </c>
      <c r="AK490" t="e">
        <f t="shared" ca="1" si="81"/>
        <v>#N/A</v>
      </c>
      <c r="AL490" t="str">
        <f t="shared" ca="1" si="82"/>
        <v/>
      </c>
      <c r="AM490" t="str">
        <f t="shared" si="83"/>
        <v/>
      </c>
      <c r="AN490" s="172">
        <f t="shared" si="84"/>
        <v>0</v>
      </c>
      <c r="AO490">
        <f t="shared" si="85"/>
        <v>0</v>
      </c>
      <c r="AP490" t="str">
        <f t="shared" ca="1" si="86"/>
        <v/>
      </c>
      <c r="AQ490" t="str">
        <f t="shared" ca="1" si="87"/>
        <v/>
      </c>
      <c r="AR490" s="33" t="str" cm="1">
        <f t="array" aca="1" ref="AR490" ca="1">IF(A490=INDIRECT($AK$4&amp;"!$A$3"),IF(I490&lt;&gt;"",I490&amp;A490,""),"")</f>
        <v/>
      </c>
    </row>
    <row r="491" spans="1:44" ht="20.100000000000001" customHeight="1">
      <c r="A491" s="11">
        <f t="shared" si="78"/>
        <v>45797</v>
      </c>
      <c r="C491" s="39"/>
      <c r="Z491" s="154" t="str">
        <f t="shared" si="79"/>
        <v/>
      </c>
      <c r="AE491" s="172">
        <f t="shared" si="77"/>
        <v>3.472222222222222E-3</v>
      </c>
      <c r="AG491" s="154" t="str">
        <f t="shared" si="80"/>
        <v/>
      </c>
      <c r="AK491" t="e">
        <f t="shared" ca="1" si="81"/>
        <v>#N/A</v>
      </c>
      <c r="AL491" t="str">
        <f t="shared" ca="1" si="82"/>
        <v/>
      </c>
      <c r="AM491" t="str">
        <f t="shared" si="83"/>
        <v/>
      </c>
      <c r="AN491" s="172">
        <f t="shared" si="84"/>
        <v>0</v>
      </c>
      <c r="AO491">
        <f t="shared" si="85"/>
        <v>0</v>
      </c>
      <c r="AP491" t="str">
        <f t="shared" ca="1" si="86"/>
        <v/>
      </c>
      <c r="AQ491" t="str">
        <f t="shared" ca="1" si="87"/>
        <v/>
      </c>
      <c r="AR491" s="33" t="str" cm="1">
        <f t="array" aca="1" ref="AR491" ca="1">IF(A491=INDIRECT($AK$4&amp;"!$A$3"),IF(I491&lt;&gt;"",I491&amp;A491,""),"")</f>
        <v/>
      </c>
    </row>
    <row r="492" spans="1:44" ht="20.100000000000001" customHeight="1">
      <c r="A492" s="11">
        <f t="shared" si="78"/>
        <v>45797</v>
      </c>
      <c r="C492" s="39"/>
      <c r="Z492" s="154" t="str">
        <f t="shared" si="79"/>
        <v/>
      </c>
      <c r="AE492" s="172">
        <f t="shared" si="77"/>
        <v>3.472222222222222E-3</v>
      </c>
      <c r="AG492" s="154" t="str">
        <f t="shared" si="80"/>
        <v/>
      </c>
      <c r="AK492" t="e">
        <f t="shared" ca="1" si="81"/>
        <v>#N/A</v>
      </c>
      <c r="AL492" t="str">
        <f t="shared" ca="1" si="82"/>
        <v/>
      </c>
      <c r="AM492" t="str">
        <f t="shared" si="83"/>
        <v/>
      </c>
      <c r="AN492" s="172">
        <f t="shared" si="84"/>
        <v>0</v>
      </c>
      <c r="AO492">
        <f t="shared" si="85"/>
        <v>0</v>
      </c>
      <c r="AP492" t="str">
        <f t="shared" ca="1" si="86"/>
        <v/>
      </c>
      <c r="AQ492" t="str">
        <f t="shared" ca="1" si="87"/>
        <v/>
      </c>
      <c r="AR492" s="33" t="str" cm="1">
        <f t="array" aca="1" ref="AR492" ca="1">IF(A492=INDIRECT($AK$4&amp;"!$A$3"),IF(I492&lt;&gt;"",I492&amp;A492,""),"")</f>
        <v/>
      </c>
    </row>
    <row r="493" spans="1:44" ht="20.100000000000001" customHeight="1">
      <c r="A493" s="11">
        <f t="shared" si="78"/>
        <v>45797</v>
      </c>
      <c r="C493" s="39"/>
      <c r="Z493" s="154" t="str">
        <f t="shared" si="79"/>
        <v/>
      </c>
      <c r="AE493" s="172">
        <f t="shared" si="77"/>
        <v>3.472222222222222E-3</v>
      </c>
      <c r="AG493" s="154" t="str">
        <f t="shared" si="80"/>
        <v/>
      </c>
      <c r="AK493" t="e">
        <f t="shared" ca="1" si="81"/>
        <v>#N/A</v>
      </c>
      <c r="AL493" t="str">
        <f t="shared" ca="1" si="82"/>
        <v/>
      </c>
      <c r="AM493" t="str">
        <f t="shared" si="83"/>
        <v/>
      </c>
      <c r="AN493" s="172">
        <f t="shared" si="84"/>
        <v>0</v>
      </c>
      <c r="AO493">
        <f t="shared" si="85"/>
        <v>0</v>
      </c>
      <c r="AP493" t="str">
        <f t="shared" ca="1" si="86"/>
        <v/>
      </c>
      <c r="AQ493" t="str">
        <f t="shared" ca="1" si="87"/>
        <v/>
      </c>
      <c r="AR493" s="33" t="str" cm="1">
        <f t="array" aca="1" ref="AR493" ca="1">IF(A493=INDIRECT($AK$4&amp;"!$A$3"),IF(I493&lt;&gt;"",I493&amp;A493,""),"")</f>
        <v/>
      </c>
    </row>
    <row r="494" spans="1:44" ht="20.100000000000001" customHeight="1">
      <c r="A494" s="11">
        <f t="shared" si="78"/>
        <v>45797</v>
      </c>
      <c r="C494" s="39"/>
      <c r="Z494" s="154" t="str">
        <f t="shared" si="79"/>
        <v/>
      </c>
      <c r="AE494" s="172">
        <f t="shared" si="77"/>
        <v>3.472222222222222E-3</v>
      </c>
      <c r="AG494" s="154" t="str">
        <f t="shared" si="80"/>
        <v/>
      </c>
      <c r="AK494" t="e">
        <f t="shared" ca="1" si="81"/>
        <v>#N/A</v>
      </c>
      <c r="AL494" t="str">
        <f t="shared" ca="1" si="82"/>
        <v/>
      </c>
      <c r="AM494" t="str">
        <f t="shared" si="83"/>
        <v/>
      </c>
      <c r="AN494" s="172">
        <f t="shared" si="84"/>
        <v>0</v>
      </c>
      <c r="AO494">
        <f t="shared" si="85"/>
        <v>0</v>
      </c>
      <c r="AP494" t="str">
        <f t="shared" ca="1" si="86"/>
        <v/>
      </c>
      <c r="AQ494" t="str">
        <f t="shared" ca="1" si="87"/>
        <v/>
      </c>
      <c r="AR494" s="33" t="str" cm="1">
        <f t="array" aca="1" ref="AR494" ca="1">IF(A494=INDIRECT($AK$4&amp;"!$A$3"),IF(I494&lt;&gt;"",I494&amp;A494,""),"")</f>
        <v/>
      </c>
    </row>
    <row r="495" spans="1:44" ht="20.100000000000001" customHeight="1">
      <c r="A495" s="11">
        <f t="shared" si="78"/>
        <v>45797</v>
      </c>
      <c r="C495" s="39"/>
      <c r="Z495" s="154" t="str">
        <f t="shared" si="79"/>
        <v/>
      </c>
      <c r="AE495" s="172">
        <f t="shared" si="77"/>
        <v>3.472222222222222E-3</v>
      </c>
      <c r="AG495" s="154" t="str">
        <f t="shared" si="80"/>
        <v/>
      </c>
      <c r="AK495" t="e">
        <f t="shared" ca="1" si="81"/>
        <v>#N/A</v>
      </c>
      <c r="AL495" t="str">
        <f t="shared" ca="1" si="82"/>
        <v/>
      </c>
      <c r="AM495" t="str">
        <f t="shared" si="83"/>
        <v/>
      </c>
      <c r="AN495" s="172">
        <f t="shared" si="84"/>
        <v>0</v>
      </c>
      <c r="AO495">
        <f t="shared" si="85"/>
        <v>0</v>
      </c>
      <c r="AP495" t="str">
        <f t="shared" ca="1" si="86"/>
        <v/>
      </c>
      <c r="AQ495" t="str">
        <f t="shared" ca="1" si="87"/>
        <v/>
      </c>
      <c r="AR495" s="33" t="str" cm="1">
        <f t="array" aca="1" ref="AR495" ca="1">IF(A495=INDIRECT($AK$4&amp;"!$A$3"),IF(I495&lt;&gt;"",I495&amp;A495,""),"")</f>
        <v/>
      </c>
    </row>
    <row r="496" spans="1:44" ht="20.100000000000001" customHeight="1">
      <c r="A496" s="11">
        <f t="shared" si="78"/>
        <v>45797</v>
      </c>
      <c r="C496" s="39"/>
      <c r="Z496" s="154" t="str">
        <f t="shared" si="79"/>
        <v/>
      </c>
      <c r="AE496" s="172">
        <f t="shared" si="77"/>
        <v>3.472222222222222E-3</v>
      </c>
      <c r="AG496" s="154" t="str">
        <f t="shared" si="80"/>
        <v/>
      </c>
      <c r="AK496" t="e">
        <f t="shared" ca="1" si="81"/>
        <v>#N/A</v>
      </c>
      <c r="AL496" t="str">
        <f t="shared" ca="1" si="82"/>
        <v/>
      </c>
      <c r="AM496" t="str">
        <f t="shared" si="83"/>
        <v/>
      </c>
      <c r="AN496" s="172">
        <f t="shared" si="84"/>
        <v>0</v>
      </c>
      <c r="AO496">
        <f t="shared" si="85"/>
        <v>0</v>
      </c>
      <c r="AP496" t="str">
        <f t="shared" ca="1" si="86"/>
        <v/>
      </c>
      <c r="AQ496" t="str">
        <f t="shared" ca="1" si="87"/>
        <v/>
      </c>
      <c r="AR496" s="33" t="str" cm="1">
        <f t="array" aca="1" ref="AR496" ca="1">IF(A496=INDIRECT($AK$4&amp;"!$A$3"),IF(I496&lt;&gt;"",I496&amp;A496,""),"")</f>
        <v/>
      </c>
    </row>
    <row r="497" spans="1:44" ht="20.100000000000001" customHeight="1">
      <c r="A497" s="11">
        <f t="shared" si="78"/>
        <v>45797</v>
      </c>
      <c r="C497" s="39"/>
      <c r="Z497" s="154" t="str">
        <f t="shared" si="79"/>
        <v/>
      </c>
      <c r="AE497" s="172">
        <f t="shared" si="77"/>
        <v>3.472222222222222E-3</v>
      </c>
      <c r="AG497" s="154" t="str">
        <f t="shared" si="80"/>
        <v/>
      </c>
      <c r="AK497" t="e">
        <f t="shared" ca="1" si="81"/>
        <v>#N/A</v>
      </c>
      <c r="AL497" t="str">
        <f t="shared" ca="1" si="82"/>
        <v/>
      </c>
      <c r="AM497" t="str">
        <f t="shared" si="83"/>
        <v/>
      </c>
      <c r="AN497" s="172">
        <f t="shared" si="84"/>
        <v>0</v>
      </c>
      <c r="AO497">
        <f t="shared" si="85"/>
        <v>0</v>
      </c>
      <c r="AP497" t="str">
        <f t="shared" ca="1" si="86"/>
        <v/>
      </c>
      <c r="AQ497" t="str">
        <f t="shared" ca="1" si="87"/>
        <v/>
      </c>
      <c r="AR497" s="33" t="str" cm="1">
        <f t="array" aca="1" ref="AR497" ca="1">IF(A497=INDIRECT($AK$4&amp;"!$A$3"),IF(I497&lt;&gt;"",I497&amp;A497,""),"")</f>
        <v/>
      </c>
    </row>
    <row r="498" spans="1:44" ht="20.100000000000001" customHeight="1">
      <c r="A498" s="11">
        <f t="shared" si="78"/>
        <v>45797</v>
      </c>
      <c r="C498" s="39"/>
      <c r="Z498" s="154" t="str">
        <f t="shared" si="79"/>
        <v/>
      </c>
      <c r="AE498" s="172">
        <f t="shared" si="77"/>
        <v>3.472222222222222E-3</v>
      </c>
      <c r="AG498" s="154" t="str">
        <f t="shared" si="80"/>
        <v/>
      </c>
      <c r="AK498" t="e">
        <f t="shared" ca="1" si="81"/>
        <v>#N/A</v>
      </c>
      <c r="AL498" t="str">
        <f t="shared" ca="1" si="82"/>
        <v/>
      </c>
      <c r="AM498" t="str">
        <f t="shared" si="83"/>
        <v/>
      </c>
      <c r="AN498" s="172">
        <f t="shared" si="84"/>
        <v>0</v>
      </c>
      <c r="AO498">
        <f t="shared" si="85"/>
        <v>0</v>
      </c>
      <c r="AP498" t="str">
        <f t="shared" ca="1" si="86"/>
        <v/>
      </c>
      <c r="AQ498" t="str">
        <f t="shared" ca="1" si="87"/>
        <v/>
      </c>
      <c r="AR498" s="33" t="str" cm="1">
        <f t="array" aca="1" ref="AR498" ca="1">IF(A498=INDIRECT($AK$4&amp;"!$A$3"),IF(I498&lt;&gt;"",I498&amp;A498,""),"")</f>
        <v/>
      </c>
    </row>
    <row r="499" spans="1:44" ht="20.100000000000001" customHeight="1">
      <c r="A499" s="11">
        <f t="shared" si="78"/>
        <v>45797</v>
      </c>
      <c r="C499" s="39"/>
      <c r="Z499" s="154" t="str">
        <f t="shared" si="79"/>
        <v/>
      </c>
      <c r="AE499" s="172">
        <f t="shared" si="77"/>
        <v>3.472222222222222E-3</v>
      </c>
      <c r="AG499" s="154" t="str">
        <f t="shared" si="80"/>
        <v/>
      </c>
      <c r="AK499" t="e">
        <f t="shared" ca="1" si="81"/>
        <v>#N/A</v>
      </c>
      <c r="AL499" t="str">
        <f t="shared" ca="1" si="82"/>
        <v/>
      </c>
      <c r="AM499" t="str">
        <f t="shared" si="83"/>
        <v/>
      </c>
      <c r="AN499" s="172">
        <f t="shared" si="84"/>
        <v>0</v>
      </c>
      <c r="AO499">
        <f t="shared" si="85"/>
        <v>0</v>
      </c>
      <c r="AP499" t="str">
        <f t="shared" ca="1" si="86"/>
        <v/>
      </c>
      <c r="AQ499" t="str">
        <f t="shared" ca="1" si="87"/>
        <v/>
      </c>
      <c r="AR499" s="33" t="str" cm="1">
        <f t="array" aca="1" ref="AR499" ca="1">IF(A499=INDIRECT($AK$4&amp;"!$A$3"),IF(I499&lt;&gt;"",I499&amp;A499,""),"")</f>
        <v/>
      </c>
    </row>
    <row r="500" spans="1:44" ht="20.100000000000001" customHeight="1">
      <c r="A500" s="11">
        <f t="shared" si="78"/>
        <v>45797</v>
      </c>
      <c r="C500" s="39"/>
      <c r="Z500" s="154" t="str">
        <f t="shared" si="79"/>
        <v/>
      </c>
      <c r="AE500" s="172">
        <f t="shared" si="77"/>
        <v>3.472222222222222E-3</v>
      </c>
      <c r="AG500" s="154" t="str">
        <f t="shared" si="80"/>
        <v/>
      </c>
      <c r="AK500" t="e">
        <f t="shared" ca="1" si="81"/>
        <v>#N/A</v>
      </c>
      <c r="AL500" t="str">
        <f t="shared" ca="1" si="82"/>
        <v/>
      </c>
      <c r="AM500" t="str">
        <f t="shared" si="83"/>
        <v/>
      </c>
      <c r="AN500" s="172">
        <f t="shared" si="84"/>
        <v>0</v>
      </c>
      <c r="AO500">
        <f t="shared" si="85"/>
        <v>0</v>
      </c>
      <c r="AP500" t="str">
        <f t="shared" ca="1" si="86"/>
        <v/>
      </c>
      <c r="AQ500" t="str">
        <f t="shared" ca="1" si="87"/>
        <v/>
      </c>
      <c r="AR500" s="33" t="str" cm="1">
        <f t="array" aca="1" ref="AR500" ca="1">IF(A500=INDIRECT($AK$4&amp;"!$A$3"),IF(I500&lt;&gt;"",I500&amp;A500,""),"")</f>
        <v/>
      </c>
    </row>
    <row r="501" spans="1:44" ht="20.100000000000001" customHeight="1">
      <c r="A501" s="11">
        <f t="shared" si="78"/>
        <v>45797</v>
      </c>
      <c r="C501" s="39"/>
      <c r="Z501" s="154" t="str">
        <f t="shared" si="79"/>
        <v/>
      </c>
      <c r="AE501" s="172">
        <f t="shared" si="77"/>
        <v>3.472222222222222E-3</v>
      </c>
      <c r="AG501" s="154" t="str">
        <f t="shared" si="80"/>
        <v/>
      </c>
      <c r="AK501" t="e">
        <f t="shared" ca="1" si="81"/>
        <v>#N/A</v>
      </c>
      <c r="AL501" t="str">
        <f t="shared" ca="1" si="82"/>
        <v/>
      </c>
      <c r="AM501" t="str">
        <f t="shared" si="83"/>
        <v/>
      </c>
      <c r="AN501" s="172">
        <f t="shared" si="84"/>
        <v>0</v>
      </c>
      <c r="AO501">
        <f t="shared" si="85"/>
        <v>0</v>
      </c>
      <c r="AP501" t="str">
        <f t="shared" ca="1" si="86"/>
        <v/>
      </c>
      <c r="AQ501" t="str">
        <f t="shared" ca="1" si="87"/>
        <v/>
      </c>
      <c r="AR501" s="33" t="str" cm="1">
        <f t="array" aca="1" ref="AR501" ca="1">IF(A501=INDIRECT($AK$4&amp;"!$A$3"),IF(I501&lt;&gt;"",I501&amp;A501,""),"")</f>
        <v/>
      </c>
    </row>
    <row r="502" spans="1:44" ht="20.100000000000001" customHeight="1">
      <c r="A502" s="11">
        <f t="shared" si="78"/>
        <v>45797</v>
      </c>
      <c r="C502" s="39"/>
      <c r="Z502" s="154" t="str">
        <f t="shared" si="79"/>
        <v/>
      </c>
      <c r="AE502" s="172">
        <f t="shared" si="77"/>
        <v>3.472222222222222E-3</v>
      </c>
      <c r="AG502" s="154" t="str">
        <f t="shared" si="80"/>
        <v/>
      </c>
      <c r="AK502" t="e">
        <f ca="1">VLOOKUP($B502,INDIRECT($AK$4&amp;"!$Z$3:$AB$17"),3,FALSE)</f>
        <v>#N/A</v>
      </c>
      <c r="AL502" t="str">
        <f ca="1">IFERROR(AK502,"")</f>
        <v/>
      </c>
      <c r="AM502" t="str">
        <f>IF(L502&lt;&gt;"",L502&amp;A502,"")</f>
        <v/>
      </c>
      <c r="AN502" s="172">
        <f>AF502</f>
        <v>0</v>
      </c>
      <c r="AO502">
        <f>IF(AND(L502&lt;&gt;"",O502&lt;&gt;"別ルート",O502&lt;&gt;"DS一時停止中",O502&lt;&gt;"RESCUER数時間後",O502&lt;&gt;"DSレスキュー済",O502&lt;&gt;"合流前Rescuee ",O502&lt;&gt;"合流前RESCUER",O502&lt;&gt;"DS完了",O502&lt;&gt;"Cortex Issue",V502&lt;&gt;"一時拒否",V502&lt;&gt;"終日拒否",V502&lt;&gt;"電話不通x2",V502&lt;&gt;"ー",V502&lt;&gt;"外国語",AA502&lt;&gt;"拒否",AA502&lt;&gt;"Rescueトラブル",AA502&lt;&gt;"電話不通x2",AA502&lt;&gt;"ー",AA502&lt;&gt;"外国語",AB502&lt;&gt;"拒否",AB502&lt;&gt;"電話不通x2",AB502&lt;&gt;"Rescueトラブル",AB502&lt;&gt;"外国語",AB502&lt;&gt;"ー"),1,0)</f>
        <v>0</v>
      </c>
      <c r="AP502" t="str">
        <f ca="1">IFERROR(IF(A502=TODAY(),VLOOKUP($L502,INDIRECT($AK$4&amp;"!AK:AM"),3,FALSE),""),"")</f>
        <v/>
      </c>
      <c r="AQ502" t="str">
        <f ca="1">IFERROR(IF(A502=TODAY(),VLOOKUP($I502,INDIRECT($AK$4&amp;"!AK:AM"),3,FALSE),""),"")</f>
        <v/>
      </c>
      <c r="AR502" s="33" t="str" cm="1">
        <f t="array" aca="1" ref="AR502" ca="1">IF(A502=INDIRECT($AK$4&amp;"!$A$3"),IF(I502&lt;&gt;"",I502&amp;A502,""),"")</f>
        <v/>
      </c>
    </row>
    <row r="503" spans="1:44" ht="20.100000000000001" customHeight="1">
      <c r="A503" s="11">
        <f t="shared" si="78"/>
        <v>45797</v>
      </c>
      <c r="C503" s="39"/>
      <c r="Z503" s="154" t="str">
        <f t="shared" si="79"/>
        <v/>
      </c>
      <c r="AE503" s="172">
        <f t="shared" si="77"/>
        <v>3.472222222222222E-3</v>
      </c>
      <c r="AG503" s="154" t="str">
        <f t="shared" si="80"/>
        <v/>
      </c>
      <c r="AK503" t="e">
        <f t="shared" ref="AK503:AK566" ca="1" si="88">VLOOKUP($B503,INDIRECT($AK$4&amp;"!$Z$3:$AB$17"),3,FALSE)</f>
        <v>#N/A</v>
      </c>
      <c r="AL503" t="str">
        <f t="shared" ref="AL503:AL566" ca="1" si="89">IFERROR(AK503,"")</f>
        <v/>
      </c>
      <c r="AM503" t="str">
        <f t="shared" ref="AM503:AM566" si="90">IF(L503&lt;&gt;"",L503&amp;A503,"")</f>
        <v/>
      </c>
      <c r="AN503" s="172">
        <f t="shared" ref="AN503:AN566" si="91">AF503</f>
        <v>0</v>
      </c>
      <c r="AO503">
        <f t="shared" ref="AO503:AO566" si="92">IF(AND(L503&lt;&gt;"",O503&lt;&gt;"別ルート",O503&lt;&gt;"DS一時停止中",O503&lt;&gt;"RESCUER数時間後",O503&lt;&gt;"DSレスキュー済",O503&lt;&gt;"合流前Rescuee ",O503&lt;&gt;"合流前RESCUER",O503&lt;&gt;"DS完了",O503&lt;&gt;"Cortex Issue",V503&lt;&gt;"一時拒否",V503&lt;&gt;"終日拒否",V503&lt;&gt;"電話不通x2",V503&lt;&gt;"ー",V503&lt;&gt;"外国語",AA503&lt;&gt;"拒否",AA503&lt;&gt;"Rescueトラブル",AA503&lt;&gt;"電話不通x2",AA503&lt;&gt;"ー",AA503&lt;&gt;"外国語",AB503&lt;&gt;"拒否",AB503&lt;&gt;"電話不通x2",AB503&lt;&gt;"Rescueトラブル",AB503&lt;&gt;"外国語",AB503&lt;&gt;"ー"),1,0)</f>
        <v>0</v>
      </c>
      <c r="AP503" t="str">
        <f t="shared" ref="AP503:AP566" ca="1" si="93">IFERROR(IF(A503=TODAY(),VLOOKUP($L503,INDIRECT($AK$4&amp;"!AK:AM"),3,FALSE),""),"")</f>
        <v/>
      </c>
      <c r="AQ503" t="str">
        <f t="shared" ref="AQ503:AQ566" ca="1" si="94">IFERROR(IF(A503=TODAY(),VLOOKUP($I503,INDIRECT($AK$4&amp;"!AK:AM"),3,FALSE),""),"")</f>
        <v/>
      </c>
      <c r="AR503" s="33" t="str" cm="1">
        <f t="array" aca="1" ref="AR503" ca="1">IF(A503=INDIRECT($AK$4&amp;"!$A$3"),IF(I503&lt;&gt;"",I503&amp;A503,""),"")</f>
        <v/>
      </c>
    </row>
    <row r="504" spans="1:44" ht="20.100000000000001" customHeight="1">
      <c r="A504" s="11">
        <f t="shared" si="78"/>
        <v>45797</v>
      </c>
      <c r="C504" s="39"/>
      <c r="Z504" s="154" t="str">
        <f t="shared" si="79"/>
        <v/>
      </c>
      <c r="AE504" s="172">
        <f t="shared" si="77"/>
        <v>3.472222222222222E-3</v>
      </c>
      <c r="AG504" s="154" t="str">
        <f t="shared" si="80"/>
        <v/>
      </c>
      <c r="AK504" t="e">
        <f t="shared" ca="1" si="88"/>
        <v>#N/A</v>
      </c>
      <c r="AL504" t="str">
        <f t="shared" ca="1" si="89"/>
        <v/>
      </c>
      <c r="AM504" t="str">
        <f t="shared" si="90"/>
        <v/>
      </c>
      <c r="AN504" s="172">
        <f t="shared" si="91"/>
        <v>0</v>
      </c>
      <c r="AO504">
        <f t="shared" si="92"/>
        <v>0</v>
      </c>
      <c r="AP504" t="str">
        <f t="shared" ca="1" si="93"/>
        <v/>
      </c>
      <c r="AQ504" t="str">
        <f t="shared" ca="1" si="94"/>
        <v/>
      </c>
      <c r="AR504" s="33" t="str" cm="1">
        <f t="array" aca="1" ref="AR504" ca="1">IF(A504=INDIRECT($AK$4&amp;"!$A$3"),IF(I504&lt;&gt;"",I504&amp;A504,""),"")</f>
        <v/>
      </c>
    </row>
    <row r="505" spans="1:44" ht="20.100000000000001" customHeight="1">
      <c r="A505" s="11">
        <f t="shared" si="78"/>
        <v>45797</v>
      </c>
      <c r="C505" s="39"/>
      <c r="Z505" s="154" t="str">
        <f t="shared" si="79"/>
        <v/>
      </c>
      <c r="AE505" s="172">
        <f t="shared" si="77"/>
        <v>3.472222222222222E-3</v>
      </c>
      <c r="AG505" s="154" t="str">
        <f t="shared" si="80"/>
        <v/>
      </c>
      <c r="AK505" t="e">
        <f t="shared" ca="1" si="88"/>
        <v>#N/A</v>
      </c>
      <c r="AL505" t="str">
        <f t="shared" ca="1" si="89"/>
        <v/>
      </c>
      <c r="AM505" t="str">
        <f t="shared" si="90"/>
        <v/>
      </c>
      <c r="AN505" s="172">
        <f t="shared" si="91"/>
        <v>0</v>
      </c>
      <c r="AO505">
        <f t="shared" si="92"/>
        <v>0</v>
      </c>
      <c r="AP505" t="str">
        <f t="shared" ca="1" si="93"/>
        <v/>
      </c>
      <c r="AQ505" t="str">
        <f t="shared" ca="1" si="94"/>
        <v/>
      </c>
      <c r="AR505" s="33" t="str" cm="1">
        <f t="array" aca="1" ref="AR505" ca="1">IF(A505=INDIRECT($AK$4&amp;"!$A$3"),IF(I505&lt;&gt;"",I505&amp;A505,""),"")</f>
        <v/>
      </c>
    </row>
    <row r="506" spans="1:44" ht="20.100000000000001" customHeight="1">
      <c r="A506" s="11">
        <f t="shared" si="78"/>
        <v>45797</v>
      </c>
      <c r="C506" s="39"/>
      <c r="Z506" s="154" t="str">
        <f t="shared" si="79"/>
        <v/>
      </c>
      <c r="AE506" s="172">
        <f t="shared" si="77"/>
        <v>3.472222222222222E-3</v>
      </c>
      <c r="AG506" s="154" t="str">
        <f t="shared" si="80"/>
        <v/>
      </c>
      <c r="AK506" t="e">
        <f t="shared" ca="1" si="88"/>
        <v>#N/A</v>
      </c>
      <c r="AL506" t="str">
        <f t="shared" ca="1" si="89"/>
        <v/>
      </c>
      <c r="AM506" t="str">
        <f t="shared" si="90"/>
        <v/>
      </c>
      <c r="AN506" s="172">
        <f t="shared" si="91"/>
        <v>0</v>
      </c>
      <c r="AO506">
        <f t="shared" si="92"/>
        <v>0</v>
      </c>
      <c r="AP506" t="str">
        <f t="shared" ca="1" si="93"/>
        <v/>
      </c>
      <c r="AQ506" t="str">
        <f t="shared" ca="1" si="94"/>
        <v/>
      </c>
      <c r="AR506" s="33" t="str" cm="1">
        <f t="array" aca="1" ref="AR506" ca="1">IF(A506=INDIRECT($AK$4&amp;"!$A$3"),IF(I506&lt;&gt;"",I506&amp;A506,""),"")</f>
        <v/>
      </c>
    </row>
    <row r="507" spans="1:44" ht="20.100000000000001" customHeight="1">
      <c r="A507" s="11">
        <f t="shared" si="78"/>
        <v>45797</v>
      </c>
      <c r="C507" s="39"/>
      <c r="Z507" s="154" t="str">
        <f t="shared" si="79"/>
        <v/>
      </c>
      <c r="AE507" s="172">
        <f t="shared" si="77"/>
        <v>3.472222222222222E-3</v>
      </c>
      <c r="AG507" s="154" t="str">
        <f t="shared" si="80"/>
        <v/>
      </c>
      <c r="AK507" t="e">
        <f t="shared" ca="1" si="88"/>
        <v>#N/A</v>
      </c>
      <c r="AL507" t="str">
        <f t="shared" ca="1" si="89"/>
        <v/>
      </c>
      <c r="AM507" t="str">
        <f t="shared" si="90"/>
        <v/>
      </c>
      <c r="AN507" s="172">
        <f t="shared" si="91"/>
        <v>0</v>
      </c>
      <c r="AO507">
        <f t="shared" si="92"/>
        <v>0</v>
      </c>
      <c r="AP507" t="str">
        <f t="shared" ca="1" si="93"/>
        <v/>
      </c>
      <c r="AQ507" t="str">
        <f t="shared" ca="1" si="94"/>
        <v/>
      </c>
      <c r="AR507" s="33" t="str" cm="1">
        <f t="array" aca="1" ref="AR507" ca="1">IF(A507=INDIRECT($AK$4&amp;"!$A$3"),IF(I507&lt;&gt;"",I507&amp;A507,""),"")</f>
        <v/>
      </c>
    </row>
    <row r="508" spans="1:44" ht="20.100000000000001" customHeight="1">
      <c r="A508" s="11">
        <f t="shared" si="78"/>
        <v>45797</v>
      </c>
      <c r="C508" s="39"/>
      <c r="Z508" s="154" t="str">
        <f t="shared" si="79"/>
        <v/>
      </c>
      <c r="AE508" s="172">
        <f t="shared" si="77"/>
        <v>3.472222222222222E-3</v>
      </c>
      <c r="AG508" s="154" t="str">
        <f t="shared" si="80"/>
        <v/>
      </c>
      <c r="AK508" t="e">
        <f t="shared" ca="1" si="88"/>
        <v>#N/A</v>
      </c>
      <c r="AL508" t="str">
        <f t="shared" ca="1" si="89"/>
        <v/>
      </c>
      <c r="AM508" t="str">
        <f t="shared" si="90"/>
        <v/>
      </c>
      <c r="AN508" s="172">
        <f t="shared" si="91"/>
        <v>0</v>
      </c>
      <c r="AO508">
        <f t="shared" si="92"/>
        <v>0</v>
      </c>
      <c r="AP508" t="str">
        <f t="shared" ca="1" si="93"/>
        <v/>
      </c>
      <c r="AQ508" t="str">
        <f t="shared" ca="1" si="94"/>
        <v/>
      </c>
      <c r="AR508" s="33" t="str" cm="1">
        <f t="array" aca="1" ref="AR508" ca="1">IF(A508=INDIRECT($AK$4&amp;"!$A$3"),IF(I508&lt;&gt;"",I508&amp;A508,""),"")</f>
        <v/>
      </c>
    </row>
    <row r="509" spans="1:44" ht="20.100000000000001" customHeight="1">
      <c r="A509" s="11">
        <f t="shared" si="78"/>
        <v>45797</v>
      </c>
      <c r="C509" s="39"/>
      <c r="Z509" s="154" t="str">
        <f t="shared" si="79"/>
        <v/>
      </c>
      <c r="AE509" s="172">
        <f t="shared" si="77"/>
        <v>3.472222222222222E-3</v>
      </c>
      <c r="AG509" s="154" t="str">
        <f t="shared" si="80"/>
        <v/>
      </c>
      <c r="AK509" t="e">
        <f t="shared" ca="1" si="88"/>
        <v>#N/A</v>
      </c>
      <c r="AL509" t="str">
        <f t="shared" ca="1" si="89"/>
        <v/>
      </c>
      <c r="AM509" t="str">
        <f t="shared" si="90"/>
        <v/>
      </c>
      <c r="AN509" s="172">
        <f t="shared" si="91"/>
        <v>0</v>
      </c>
      <c r="AO509">
        <f t="shared" si="92"/>
        <v>0</v>
      </c>
      <c r="AP509" t="str">
        <f t="shared" ca="1" si="93"/>
        <v/>
      </c>
      <c r="AQ509" t="str">
        <f t="shared" ca="1" si="94"/>
        <v/>
      </c>
      <c r="AR509" s="33" t="str" cm="1">
        <f t="array" aca="1" ref="AR509" ca="1">IF(A509=INDIRECT($AK$4&amp;"!$A$3"),IF(I509&lt;&gt;"",I509&amp;A509,""),"")</f>
        <v/>
      </c>
    </row>
    <row r="510" spans="1:44" ht="20.100000000000001" customHeight="1">
      <c r="A510" s="11">
        <f t="shared" si="78"/>
        <v>45797</v>
      </c>
      <c r="C510" s="39"/>
      <c r="Z510" s="154" t="str">
        <f t="shared" si="79"/>
        <v/>
      </c>
      <c r="AE510" s="172">
        <f t="shared" si="77"/>
        <v>3.472222222222222E-3</v>
      </c>
      <c r="AG510" s="154" t="str">
        <f t="shared" si="80"/>
        <v/>
      </c>
      <c r="AK510" t="e">
        <f t="shared" ca="1" si="88"/>
        <v>#N/A</v>
      </c>
      <c r="AL510" t="str">
        <f t="shared" ca="1" si="89"/>
        <v/>
      </c>
      <c r="AM510" t="str">
        <f t="shared" si="90"/>
        <v/>
      </c>
      <c r="AN510" s="172">
        <f t="shared" si="91"/>
        <v>0</v>
      </c>
      <c r="AO510">
        <f t="shared" si="92"/>
        <v>0</v>
      </c>
      <c r="AP510" t="str">
        <f t="shared" ca="1" si="93"/>
        <v/>
      </c>
      <c r="AQ510" t="str">
        <f t="shared" ca="1" si="94"/>
        <v/>
      </c>
      <c r="AR510" s="33" t="str" cm="1">
        <f t="array" aca="1" ref="AR510" ca="1">IF(A510=INDIRECT($AK$4&amp;"!$A$3"),IF(I510&lt;&gt;"",I510&amp;A510,""),"")</f>
        <v/>
      </c>
    </row>
    <row r="511" spans="1:44" ht="20.100000000000001" customHeight="1">
      <c r="A511" s="11">
        <f t="shared" si="78"/>
        <v>45797</v>
      </c>
      <c r="C511" s="39"/>
      <c r="Z511" s="154" t="str">
        <f t="shared" si="79"/>
        <v/>
      </c>
      <c r="AE511" s="172">
        <f t="shared" si="77"/>
        <v>3.472222222222222E-3</v>
      </c>
      <c r="AG511" s="154" t="str">
        <f t="shared" si="80"/>
        <v/>
      </c>
      <c r="AK511" t="e">
        <f t="shared" ca="1" si="88"/>
        <v>#N/A</v>
      </c>
      <c r="AL511" t="str">
        <f t="shared" ca="1" si="89"/>
        <v/>
      </c>
      <c r="AM511" t="str">
        <f t="shared" si="90"/>
        <v/>
      </c>
      <c r="AN511" s="172">
        <f t="shared" si="91"/>
        <v>0</v>
      </c>
      <c r="AO511">
        <f t="shared" si="92"/>
        <v>0</v>
      </c>
      <c r="AP511" t="str">
        <f t="shared" ca="1" si="93"/>
        <v/>
      </c>
      <c r="AQ511" t="str">
        <f t="shared" ca="1" si="94"/>
        <v/>
      </c>
      <c r="AR511" s="33" t="str" cm="1">
        <f t="array" aca="1" ref="AR511" ca="1">IF(A511=INDIRECT($AK$4&amp;"!$A$3"),IF(I511&lt;&gt;"",I511&amp;A511,""),"")</f>
        <v/>
      </c>
    </row>
    <row r="512" spans="1:44" ht="20.100000000000001" customHeight="1">
      <c r="A512" s="11">
        <f t="shared" si="78"/>
        <v>45797</v>
      </c>
      <c r="C512" s="39"/>
      <c r="Z512" s="154" t="str">
        <f t="shared" si="79"/>
        <v/>
      </c>
      <c r="AE512" s="172">
        <f t="shared" si="77"/>
        <v>3.472222222222222E-3</v>
      </c>
      <c r="AG512" s="154" t="str">
        <f t="shared" si="80"/>
        <v/>
      </c>
      <c r="AK512" t="e">
        <f t="shared" ca="1" si="88"/>
        <v>#N/A</v>
      </c>
      <c r="AL512" t="str">
        <f t="shared" ca="1" si="89"/>
        <v/>
      </c>
      <c r="AM512" t="str">
        <f t="shared" si="90"/>
        <v/>
      </c>
      <c r="AN512" s="172">
        <f t="shared" si="91"/>
        <v>0</v>
      </c>
      <c r="AO512">
        <f t="shared" si="92"/>
        <v>0</v>
      </c>
      <c r="AP512" t="str">
        <f t="shared" ca="1" si="93"/>
        <v/>
      </c>
      <c r="AQ512" t="str">
        <f t="shared" ca="1" si="94"/>
        <v/>
      </c>
      <c r="AR512" s="33" t="str" cm="1">
        <f t="array" aca="1" ref="AR512" ca="1">IF(A512=INDIRECT($AK$4&amp;"!$A$3"),IF(I512&lt;&gt;"",I512&amp;A512,""),"")</f>
        <v/>
      </c>
    </row>
    <row r="513" spans="1:44" ht="20.100000000000001" customHeight="1">
      <c r="A513" s="11">
        <f t="shared" si="78"/>
        <v>45797</v>
      </c>
      <c r="C513" s="39"/>
      <c r="Z513" s="154" t="str">
        <f t="shared" si="79"/>
        <v/>
      </c>
      <c r="AE513" s="172">
        <f t="shared" si="77"/>
        <v>3.472222222222222E-3</v>
      </c>
      <c r="AG513" s="154" t="str">
        <f t="shared" si="80"/>
        <v/>
      </c>
      <c r="AK513" t="e">
        <f t="shared" ca="1" si="88"/>
        <v>#N/A</v>
      </c>
      <c r="AL513" t="str">
        <f t="shared" ca="1" si="89"/>
        <v/>
      </c>
      <c r="AM513" t="str">
        <f t="shared" si="90"/>
        <v/>
      </c>
      <c r="AN513" s="172">
        <f t="shared" si="91"/>
        <v>0</v>
      </c>
      <c r="AO513">
        <f t="shared" si="92"/>
        <v>0</v>
      </c>
      <c r="AP513" t="str">
        <f t="shared" ca="1" si="93"/>
        <v/>
      </c>
      <c r="AQ513" t="str">
        <f t="shared" ca="1" si="94"/>
        <v/>
      </c>
      <c r="AR513" s="33" t="str" cm="1">
        <f t="array" aca="1" ref="AR513" ca="1">IF(A513=INDIRECT($AK$4&amp;"!$A$3"),IF(I513&lt;&gt;"",I513&amp;A513,""),"")</f>
        <v/>
      </c>
    </row>
    <row r="514" spans="1:44" ht="20.100000000000001" customHeight="1">
      <c r="A514" s="11">
        <f t="shared" si="78"/>
        <v>45797</v>
      </c>
      <c r="C514" s="39"/>
      <c r="Z514" s="154" t="str">
        <f t="shared" si="79"/>
        <v/>
      </c>
      <c r="AE514" s="172">
        <f t="shared" si="77"/>
        <v>3.472222222222222E-3</v>
      </c>
      <c r="AG514" s="154" t="str">
        <f t="shared" si="80"/>
        <v/>
      </c>
      <c r="AK514" t="e">
        <f t="shared" ca="1" si="88"/>
        <v>#N/A</v>
      </c>
      <c r="AL514" t="str">
        <f t="shared" ca="1" si="89"/>
        <v/>
      </c>
      <c r="AM514" t="str">
        <f t="shared" si="90"/>
        <v/>
      </c>
      <c r="AN514" s="172">
        <f t="shared" si="91"/>
        <v>0</v>
      </c>
      <c r="AO514">
        <f t="shared" si="92"/>
        <v>0</v>
      </c>
      <c r="AP514" t="str">
        <f t="shared" ca="1" si="93"/>
        <v/>
      </c>
      <c r="AQ514" t="str">
        <f t="shared" ca="1" si="94"/>
        <v/>
      </c>
      <c r="AR514" s="33" t="str" cm="1">
        <f t="array" aca="1" ref="AR514" ca="1">IF(A514=INDIRECT($AK$4&amp;"!$A$3"),IF(I514&lt;&gt;"",I514&amp;A514,""),"")</f>
        <v/>
      </c>
    </row>
    <row r="515" spans="1:44" ht="20.100000000000001" customHeight="1">
      <c r="A515" s="11">
        <f t="shared" si="78"/>
        <v>45797</v>
      </c>
      <c r="C515" s="39"/>
      <c r="Z515" s="154" t="str">
        <f t="shared" si="79"/>
        <v/>
      </c>
      <c r="AE515" s="172">
        <f t="shared" si="77"/>
        <v>3.472222222222222E-3</v>
      </c>
      <c r="AG515" s="154" t="str">
        <f t="shared" si="80"/>
        <v/>
      </c>
      <c r="AK515" t="e">
        <f t="shared" ca="1" si="88"/>
        <v>#N/A</v>
      </c>
      <c r="AL515" t="str">
        <f t="shared" ca="1" si="89"/>
        <v/>
      </c>
      <c r="AM515" t="str">
        <f t="shared" si="90"/>
        <v/>
      </c>
      <c r="AN515" s="172">
        <f t="shared" si="91"/>
        <v>0</v>
      </c>
      <c r="AO515">
        <f t="shared" si="92"/>
        <v>0</v>
      </c>
      <c r="AP515" t="str">
        <f t="shared" ca="1" si="93"/>
        <v/>
      </c>
      <c r="AQ515" t="str">
        <f t="shared" ca="1" si="94"/>
        <v/>
      </c>
      <c r="AR515" s="33" t="str" cm="1">
        <f t="array" aca="1" ref="AR515" ca="1">IF(A515=INDIRECT($AK$4&amp;"!$A$3"),IF(I515&lt;&gt;"",I515&amp;A515,""),"")</f>
        <v/>
      </c>
    </row>
    <row r="516" spans="1:44" ht="20.100000000000001" customHeight="1">
      <c r="A516" s="11">
        <f t="shared" si="78"/>
        <v>45797</v>
      </c>
      <c r="C516" s="39"/>
      <c r="Z516" s="154" t="str">
        <f t="shared" si="79"/>
        <v/>
      </c>
      <c r="AE516" s="172">
        <f t="shared" si="77"/>
        <v>3.472222222222222E-3</v>
      </c>
      <c r="AG516" s="154" t="str">
        <f t="shared" si="80"/>
        <v/>
      </c>
      <c r="AK516" t="e">
        <f t="shared" ca="1" si="88"/>
        <v>#N/A</v>
      </c>
      <c r="AL516" t="str">
        <f t="shared" ca="1" si="89"/>
        <v/>
      </c>
      <c r="AM516" t="str">
        <f t="shared" si="90"/>
        <v/>
      </c>
      <c r="AN516" s="172">
        <f t="shared" si="91"/>
        <v>0</v>
      </c>
      <c r="AO516">
        <f t="shared" si="92"/>
        <v>0</v>
      </c>
      <c r="AP516" t="str">
        <f t="shared" ca="1" si="93"/>
        <v/>
      </c>
      <c r="AQ516" t="str">
        <f t="shared" ca="1" si="94"/>
        <v/>
      </c>
      <c r="AR516" s="33" t="str" cm="1">
        <f t="array" aca="1" ref="AR516" ca="1">IF(A516=INDIRECT($AK$4&amp;"!$A$3"),IF(I516&lt;&gt;"",I516&amp;A516,""),"")</f>
        <v/>
      </c>
    </row>
    <row r="517" spans="1:44" ht="20.100000000000001" customHeight="1">
      <c r="A517" s="11">
        <f t="shared" si="78"/>
        <v>45797</v>
      </c>
      <c r="C517" s="39"/>
      <c r="Z517" s="154" t="str">
        <f t="shared" si="79"/>
        <v/>
      </c>
      <c r="AE517" s="172">
        <f t="shared" ref="AE517:AE580" si="95">TIME(0,$K517+5,0)</f>
        <v>3.472222222222222E-3</v>
      </c>
      <c r="AG517" s="154" t="str">
        <f t="shared" si="80"/>
        <v/>
      </c>
      <c r="AK517" t="e">
        <f t="shared" ca="1" si="88"/>
        <v>#N/A</v>
      </c>
      <c r="AL517" t="str">
        <f t="shared" ca="1" si="89"/>
        <v/>
      </c>
      <c r="AM517" t="str">
        <f t="shared" si="90"/>
        <v/>
      </c>
      <c r="AN517" s="172">
        <f t="shared" si="91"/>
        <v>0</v>
      </c>
      <c r="AO517">
        <f t="shared" si="92"/>
        <v>0</v>
      </c>
      <c r="AP517" t="str">
        <f t="shared" ca="1" si="93"/>
        <v/>
      </c>
      <c r="AQ517" t="str">
        <f t="shared" ca="1" si="94"/>
        <v/>
      </c>
      <c r="AR517" s="33" t="str" cm="1">
        <f t="array" aca="1" ref="AR517" ca="1">IF(A517=INDIRECT($AK$4&amp;"!$A$3"),IF(I517&lt;&gt;"",I517&amp;A517,""),"")</f>
        <v/>
      </c>
    </row>
    <row r="518" spans="1:44" ht="20.100000000000001" customHeight="1">
      <c r="A518" s="11">
        <f t="shared" ref="A518:A581" si="96">A517</f>
        <v>45797</v>
      </c>
      <c r="C518" s="39"/>
      <c r="Z518" s="154" t="str">
        <f t="shared" ref="Z518:Z581" si="97">IF(Y518="","",$Y518+TIME(0,5,0))</f>
        <v/>
      </c>
      <c r="AE518" s="172">
        <f t="shared" si="95"/>
        <v>3.472222222222222E-3</v>
      </c>
      <c r="AG518" s="154" t="str">
        <f t="shared" ref="AG518:AG581" si="98">IF(AF518="","",IF(D518="トラブル報告",AF518+TIME(0,45,0),SUM(AE518,AF518)))</f>
        <v/>
      </c>
      <c r="AK518" t="e">
        <f t="shared" ca="1" si="88"/>
        <v>#N/A</v>
      </c>
      <c r="AL518" t="str">
        <f t="shared" ca="1" si="89"/>
        <v/>
      </c>
      <c r="AM518" t="str">
        <f t="shared" si="90"/>
        <v/>
      </c>
      <c r="AN518" s="172">
        <f t="shared" si="91"/>
        <v>0</v>
      </c>
      <c r="AO518">
        <f t="shared" si="92"/>
        <v>0</v>
      </c>
      <c r="AP518" t="str">
        <f t="shared" ca="1" si="93"/>
        <v/>
      </c>
      <c r="AQ518" t="str">
        <f t="shared" ca="1" si="94"/>
        <v/>
      </c>
      <c r="AR518" s="33" t="str" cm="1">
        <f t="array" aca="1" ref="AR518" ca="1">IF(A518=INDIRECT($AK$4&amp;"!$A$3"),IF(I518&lt;&gt;"",I518&amp;A518,""),"")</f>
        <v/>
      </c>
    </row>
    <row r="519" spans="1:44" ht="20.100000000000001" customHeight="1">
      <c r="A519" s="11">
        <f t="shared" si="96"/>
        <v>45797</v>
      </c>
      <c r="C519" s="39"/>
      <c r="Z519" s="154" t="str">
        <f t="shared" si="97"/>
        <v/>
      </c>
      <c r="AE519" s="172">
        <f t="shared" si="95"/>
        <v>3.472222222222222E-3</v>
      </c>
      <c r="AG519" s="154" t="str">
        <f t="shared" si="98"/>
        <v/>
      </c>
      <c r="AK519" t="e">
        <f t="shared" ca="1" si="88"/>
        <v>#N/A</v>
      </c>
      <c r="AL519" t="str">
        <f t="shared" ca="1" si="89"/>
        <v/>
      </c>
      <c r="AM519" t="str">
        <f t="shared" si="90"/>
        <v/>
      </c>
      <c r="AN519" s="172">
        <f t="shared" si="91"/>
        <v>0</v>
      </c>
      <c r="AO519">
        <f t="shared" si="92"/>
        <v>0</v>
      </c>
      <c r="AP519" t="str">
        <f t="shared" ca="1" si="93"/>
        <v/>
      </c>
      <c r="AQ519" t="str">
        <f t="shared" ca="1" si="94"/>
        <v/>
      </c>
      <c r="AR519" s="33" t="str" cm="1">
        <f t="array" aca="1" ref="AR519" ca="1">IF(A519=INDIRECT($AK$4&amp;"!$A$3"),IF(I519&lt;&gt;"",I519&amp;A519,""),"")</f>
        <v/>
      </c>
    </row>
    <row r="520" spans="1:44" ht="20.100000000000001" customHeight="1">
      <c r="A520" s="11">
        <f t="shared" si="96"/>
        <v>45797</v>
      </c>
      <c r="C520" s="39"/>
      <c r="Z520" s="154" t="str">
        <f t="shared" si="97"/>
        <v/>
      </c>
      <c r="AE520" s="172">
        <f t="shared" si="95"/>
        <v>3.472222222222222E-3</v>
      </c>
      <c r="AG520" s="154" t="str">
        <f t="shared" si="98"/>
        <v/>
      </c>
      <c r="AK520" t="e">
        <f t="shared" ca="1" si="88"/>
        <v>#N/A</v>
      </c>
      <c r="AL520" t="str">
        <f t="shared" ca="1" si="89"/>
        <v/>
      </c>
      <c r="AM520" t="str">
        <f t="shared" si="90"/>
        <v/>
      </c>
      <c r="AN520" s="172">
        <f t="shared" si="91"/>
        <v>0</v>
      </c>
      <c r="AO520">
        <f t="shared" si="92"/>
        <v>0</v>
      </c>
      <c r="AP520" t="str">
        <f t="shared" ca="1" si="93"/>
        <v/>
      </c>
      <c r="AQ520" t="str">
        <f t="shared" ca="1" si="94"/>
        <v/>
      </c>
      <c r="AR520" s="33" t="str" cm="1">
        <f t="array" aca="1" ref="AR520" ca="1">IF(A520=INDIRECT($AK$4&amp;"!$A$3"),IF(I520&lt;&gt;"",I520&amp;A520,""),"")</f>
        <v/>
      </c>
    </row>
    <row r="521" spans="1:44" ht="20.100000000000001" customHeight="1">
      <c r="A521" s="11">
        <f t="shared" si="96"/>
        <v>45797</v>
      </c>
      <c r="C521" s="39"/>
      <c r="Z521" s="154" t="str">
        <f t="shared" si="97"/>
        <v/>
      </c>
      <c r="AE521" s="172">
        <f t="shared" si="95"/>
        <v>3.472222222222222E-3</v>
      </c>
      <c r="AG521" s="154" t="str">
        <f t="shared" si="98"/>
        <v/>
      </c>
      <c r="AK521" t="e">
        <f t="shared" ca="1" si="88"/>
        <v>#N/A</v>
      </c>
      <c r="AL521" t="str">
        <f t="shared" ca="1" si="89"/>
        <v/>
      </c>
      <c r="AM521" t="str">
        <f t="shared" si="90"/>
        <v/>
      </c>
      <c r="AN521" s="172">
        <f t="shared" si="91"/>
        <v>0</v>
      </c>
      <c r="AO521">
        <f t="shared" si="92"/>
        <v>0</v>
      </c>
      <c r="AP521" t="str">
        <f t="shared" ca="1" si="93"/>
        <v/>
      </c>
      <c r="AQ521" t="str">
        <f t="shared" ca="1" si="94"/>
        <v/>
      </c>
      <c r="AR521" s="33" t="str" cm="1">
        <f t="array" aca="1" ref="AR521" ca="1">IF(A521=INDIRECT($AK$4&amp;"!$A$3"),IF(I521&lt;&gt;"",I521&amp;A521,""),"")</f>
        <v/>
      </c>
    </row>
    <row r="522" spans="1:44" ht="20.100000000000001" customHeight="1">
      <c r="A522" s="11">
        <f t="shared" si="96"/>
        <v>45797</v>
      </c>
      <c r="C522" s="39"/>
      <c r="Z522" s="154" t="str">
        <f t="shared" si="97"/>
        <v/>
      </c>
      <c r="AE522" s="172">
        <f t="shared" si="95"/>
        <v>3.472222222222222E-3</v>
      </c>
      <c r="AG522" s="154" t="str">
        <f t="shared" si="98"/>
        <v/>
      </c>
      <c r="AK522" t="e">
        <f t="shared" ca="1" si="88"/>
        <v>#N/A</v>
      </c>
      <c r="AL522" t="str">
        <f t="shared" ca="1" si="89"/>
        <v/>
      </c>
      <c r="AM522" t="str">
        <f t="shared" si="90"/>
        <v/>
      </c>
      <c r="AN522" s="172">
        <f t="shared" si="91"/>
        <v>0</v>
      </c>
      <c r="AO522">
        <f t="shared" si="92"/>
        <v>0</v>
      </c>
      <c r="AP522" t="str">
        <f t="shared" ca="1" si="93"/>
        <v/>
      </c>
      <c r="AQ522" t="str">
        <f t="shared" ca="1" si="94"/>
        <v/>
      </c>
      <c r="AR522" s="33" t="str" cm="1">
        <f t="array" aca="1" ref="AR522" ca="1">IF(A522=INDIRECT($AK$4&amp;"!$A$3"),IF(I522&lt;&gt;"",I522&amp;A522,""),"")</f>
        <v/>
      </c>
    </row>
    <row r="523" spans="1:44" ht="20.100000000000001" customHeight="1">
      <c r="A523" s="11">
        <f t="shared" si="96"/>
        <v>45797</v>
      </c>
      <c r="C523" s="39"/>
      <c r="Z523" s="154" t="str">
        <f t="shared" si="97"/>
        <v/>
      </c>
      <c r="AE523" s="172">
        <f t="shared" si="95"/>
        <v>3.472222222222222E-3</v>
      </c>
      <c r="AG523" s="154" t="str">
        <f t="shared" si="98"/>
        <v/>
      </c>
      <c r="AK523" t="e">
        <f t="shared" ca="1" si="88"/>
        <v>#N/A</v>
      </c>
      <c r="AL523" t="str">
        <f t="shared" ca="1" si="89"/>
        <v/>
      </c>
      <c r="AM523" t="str">
        <f t="shared" si="90"/>
        <v/>
      </c>
      <c r="AN523" s="172">
        <f t="shared" si="91"/>
        <v>0</v>
      </c>
      <c r="AO523">
        <f t="shared" si="92"/>
        <v>0</v>
      </c>
      <c r="AP523" t="str">
        <f t="shared" ca="1" si="93"/>
        <v/>
      </c>
      <c r="AQ523" t="str">
        <f t="shared" ca="1" si="94"/>
        <v/>
      </c>
      <c r="AR523" s="33" t="str" cm="1">
        <f t="array" aca="1" ref="AR523" ca="1">IF(A523=INDIRECT($AK$4&amp;"!$A$3"),IF(I523&lt;&gt;"",I523&amp;A523,""),"")</f>
        <v/>
      </c>
    </row>
    <row r="524" spans="1:44" ht="20.100000000000001" customHeight="1">
      <c r="A524" s="11">
        <f t="shared" si="96"/>
        <v>45797</v>
      </c>
      <c r="C524" s="39"/>
      <c r="Z524" s="154" t="str">
        <f t="shared" si="97"/>
        <v/>
      </c>
      <c r="AE524" s="172">
        <f t="shared" si="95"/>
        <v>3.472222222222222E-3</v>
      </c>
      <c r="AG524" s="154" t="str">
        <f t="shared" si="98"/>
        <v/>
      </c>
      <c r="AK524" t="e">
        <f t="shared" ca="1" si="88"/>
        <v>#N/A</v>
      </c>
      <c r="AL524" t="str">
        <f t="shared" ca="1" si="89"/>
        <v/>
      </c>
      <c r="AM524" t="str">
        <f t="shared" si="90"/>
        <v/>
      </c>
      <c r="AN524" s="172">
        <f t="shared" si="91"/>
        <v>0</v>
      </c>
      <c r="AO524">
        <f t="shared" si="92"/>
        <v>0</v>
      </c>
      <c r="AP524" t="str">
        <f t="shared" ca="1" si="93"/>
        <v/>
      </c>
      <c r="AQ524" t="str">
        <f t="shared" ca="1" si="94"/>
        <v/>
      </c>
      <c r="AR524" s="33" t="str" cm="1">
        <f t="array" aca="1" ref="AR524" ca="1">IF(A524=INDIRECT($AK$4&amp;"!$A$3"),IF(I524&lt;&gt;"",I524&amp;A524,""),"")</f>
        <v/>
      </c>
    </row>
    <row r="525" spans="1:44" ht="20.100000000000001" customHeight="1">
      <c r="A525" s="11">
        <f t="shared" si="96"/>
        <v>45797</v>
      </c>
      <c r="C525" s="39"/>
      <c r="Z525" s="154" t="str">
        <f t="shared" si="97"/>
        <v/>
      </c>
      <c r="AE525" s="172">
        <f t="shared" si="95"/>
        <v>3.472222222222222E-3</v>
      </c>
      <c r="AG525" s="154" t="str">
        <f t="shared" si="98"/>
        <v/>
      </c>
      <c r="AK525" t="e">
        <f t="shared" ca="1" si="88"/>
        <v>#N/A</v>
      </c>
      <c r="AL525" t="str">
        <f t="shared" ca="1" si="89"/>
        <v/>
      </c>
      <c r="AM525" t="str">
        <f t="shared" si="90"/>
        <v/>
      </c>
      <c r="AN525" s="172">
        <f t="shared" si="91"/>
        <v>0</v>
      </c>
      <c r="AO525">
        <f t="shared" si="92"/>
        <v>0</v>
      </c>
      <c r="AP525" t="str">
        <f t="shared" ca="1" si="93"/>
        <v/>
      </c>
      <c r="AQ525" t="str">
        <f t="shared" ca="1" si="94"/>
        <v/>
      </c>
      <c r="AR525" s="33" t="str" cm="1">
        <f t="array" aca="1" ref="AR525" ca="1">IF(A525=INDIRECT($AK$4&amp;"!$A$3"),IF(I525&lt;&gt;"",I525&amp;A525,""),"")</f>
        <v/>
      </c>
    </row>
    <row r="526" spans="1:44" ht="20.100000000000001" customHeight="1">
      <c r="A526" s="11">
        <f t="shared" si="96"/>
        <v>45797</v>
      </c>
      <c r="C526" s="39"/>
      <c r="Z526" s="154" t="str">
        <f t="shared" si="97"/>
        <v/>
      </c>
      <c r="AE526" s="172">
        <f t="shared" si="95"/>
        <v>3.472222222222222E-3</v>
      </c>
      <c r="AG526" s="154" t="str">
        <f t="shared" si="98"/>
        <v/>
      </c>
      <c r="AK526" t="e">
        <f t="shared" ca="1" si="88"/>
        <v>#N/A</v>
      </c>
      <c r="AL526" t="str">
        <f t="shared" ca="1" si="89"/>
        <v/>
      </c>
      <c r="AM526" t="str">
        <f t="shared" si="90"/>
        <v/>
      </c>
      <c r="AN526" s="172">
        <f t="shared" si="91"/>
        <v>0</v>
      </c>
      <c r="AO526">
        <f t="shared" si="92"/>
        <v>0</v>
      </c>
      <c r="AP526" t="str">
        <f t="shared" ca="1" si="93"/>
        <v/>
      </c>
      <c r="AQ526" t="str">
        <f t="shared" ca="1" si="94"/>
        <v/>
      </c>
      <c r="AR526" s="33" t="str" cm="1">
        <f t="array" aca="1" ref="AR526" ca="1">IF(A526=INDIRECT($AK$4&amp;"!$A$3"),IF(I526&lt;&gt;"",I526&amp;A526,""),"")</f>
        <v/>
      </c>
    </row>
    <row r="527" spans="1:44" ht="20.100000000000001" customHeight="1">
      <c r="A527" s="11">
        <f t="shared" si="96"/>
        <v>45797</v>
      </c>
      <c r="C527" s="39"/>
      <c r="Z527" s="154" t="str">
        <f t="shared" si="97"/>
        <v/>
      </c>
      <c r="AE527" s="172">
        <f t="shared" si="95"/>
        <v>3.472222222222222E-3</v>
      </c>
      <c r="AG527" s="154" t="str">
        <f t="shared" si="98"/>
        <v/>
      </c>
      <c r="AK527" t="e">
        <f t="shared" ca="1" si="88"/>
        <v>#N/A</v>
      </c>
      <c r="AL527" t="str">
        <f t="shared" ca="1" si="89"/>
        <v/>
      </c>
      <c r="AM527" t="str">
        <f t="shared" si="90"/>
        <v/>
      </c>
      <c r="AN527" s="172">
        <f t="shared" si="91"/>
        <v>0</v>
      </c>
      <c r="AO527">
        <f t="shared" si="92"/>
        <v>0</v>
      </c>
      <c r="AP527" t="str">
        <f t="shared" ca="1" si="93"/>
        <v/>
      </c>
      <c r="AQ527" t="str">
        <f t="shared" ca="1" si="94"/>
        <v/>
      </c>
      <c r="AR527" s="33" t="str" cm="1">
        <f t="array" aca="1" ref="AR527" ca="1">IF(A527=INDIRECT($AK$4&amp;"!$A$3"),IF(I527&lt;&gt;"",I527&amp;A527,""),"")</f>
        <v/>
      </c>
    </row>
    <row r="528" spans="1:44" ht="20.100000000000001" customHeight="1">
      <c r="A528" s="11">
        <f t="shared" si="96"/>
        <v>45797</v>
      </c>
      <c r="C528" s="39"/>
      <c r="Z528" s="154" t="str">
        <f t="shared" si="97"/>
        <v/>
      </c>
      <c r="AE528" s="172">
        <f t="shared" si="95"/>
        <v>3.472222222222222E-3</v>
      </c>
      <c r="AG528" s="154" t="str">
        <f t="shared" si="98"/>
        <v/>
      </c>
      <c r="AK528" t="e">
        <f t="shared" ca="1" si="88"/>
        <v>#N/A</v>
      </c>
      <c r="AL528" t="str">
        <f t="shared" ca="1" si="89"/>
        <v/>
      </c>
      <c r="AM528" t="str">
        <f t="shared" si="90"/>
        <v/>
      </c>
      <c r="AN528" s="172">
        <f t="shared" si="91"/>
        <v>0</v>
      </c>
      <c r="AO528">
        <f t="shared" si="92"/>
        <v>0</v>
      </c>
      <c r="AP528" t="str">
        <f t="shared" ca="1" si="93"/>
        <v/>
      </c>
      <c r="AQ528" t="str">
        <f t="shared" ca="1" si="94"/>
        <v/>
      </c>
      <c r="AR528" s="33" t="str" cm="1">
        <f t="array" aca="1" ref="AR528" ca="1">IF(A528=INDIRECT($AK$4&amp;"!$A$3"),IF(I528&lt;&gt;"",I528&amp;A528,""),"")</f>
        <v/>
      </c>
    </row>
    <row r="529" spans="1:44" ht="20.100000000000001" customHeight="1">
      <c r="A529" s="11">
        <f t="shared" si="96"/>
        <v>45797</v>
      </c>
      <c r="C529" s="39"/>
      <c r="Z529" s="154" t="str">
        <f t="shared" si="97"/>
        <v/>
      </c>
      <c r="AE529" s="172">
        <f t="shared" si="95"/>
        <v>3.472222222222222E-3</v>
      </c>
      <c r="AG529" s="154" t="str">
        <f t="shared" si="98"/>
        <v/>
      </c>
      <c r="AK529" t="e">
        <f t="shared" ca="1" si="88"/>
        <v>#N/A</v>
      </c>
      <c r="AL529" t="str">
        <f t="shared" ca="1" si="89"/>
        <v/>
      </c>
      <c r="AM529" t="str">
        <f t="shared" si="90"/>
        <v/>
      </c>
      <c r="AN529" s="172">
        <f t="shared" si="91"/>
        <v>0</v>
      </c>
      <c r="AO529">
        <f t="shared" si="92"/>
        <v>0</v>
      </c>
      <c r="AP529" t="str">
        <f t="shared" ca="1" si="93"/>
        <v/>
      </c>
      <c r="AQ529" t="str">
        <f t="shared" ca="1" si="94"/>
        <v/>
      </c>
      <c r="AR529" s="33" t="str" cm="1">
        <f t="array" aca="1" ref="AR529" ca="1">IF(A529=INDIRECT($AK$4&amp;"!$A$3"),IF(I529&lt;&gt;"",I529&amp;A529,""),"")</f>
        <v/>
      </c>
    </row>
    <row r="530" spans="1:44" ht="20.100000000000001" customHeight="1">
      <c r="A530" s="11">
        <f t="shared" si="96"/>
        <v>45797</v>
      </c>
      <c r="C530" s="39"/>
      <c r="Z530" s="154" t="str">
        <f t="shared" si="97"/>
        <v/>
      </c>
      <c r="AE530" s="172">
        <f t="shared" si="95"/>
        <v>3.472222222222222E-3</v>
      </c>
      <c r="AG530" s="154" t="str">
        <f t="shared" si="98"/>
        <v/>
      </c>
      <c r="AK530" t="e">
        <f t="shared" ca="1" si="88"/>
        <v>#N/A</v>
      </c>
      <c r="AL530" t="str">
        <f t="shared" ca="1" si="89"/>
        <v/>
      </c>
      <c r="AM530" t="str">
        <f t="shared" si="90"/>
        <v/>
      </c>
      <c r="AN530" s="172">
        <f t="shared" si="91"/>
        <v>0</v>
      </c>
      <c r="AO530">
        <f t="shared" si="92"/>
        <v>0</v>
      </c>
      <c r="AP530" t="str">
        <f t="shared" ca="1" si="93"/>
        <v/>
      </c>
      <c r="AQ530" t="str">
        <f t="shared" ca="1" si="94"/>
        <v/>
      </c>
      <c r="AR530" s="33" t="str" cm="1">
        <f t="array" aca="1" ref="AR530" ca="1">IF(A530=INDIRECT($AK$4&amp;"!$A$3"),IF(I530&lt;&gt;"",I530&amp;A530,""),"")</f>
        <v/>
      </c>
    </row>
    <row r="531" spans="1:44" ht="20.100000000000001" customHeight="1">
      <c r="A531" s="11">
        <f t="shared" si="96"/>
        <v>45797</v>
      </c>
      <c r="C531" s="39"/>
      <c r="Z531" s="154" t="str">
        <f t="shared" si="97"/>
        <v/>
      </c>
      <c r="AE531" s="172">
        <f t="shared" si="95"/>
        <v>3.472222222222222E-3</v>
      </c>
      <c r="AG531" s="154" t="str">
        <f t="shared" si="98"/>
        <v/>
      </c>
      <c r="AK531" t="e">
        <f t="shared" ca="1" si="88"/>
        <v>#N/A</v>
      </c>
      <c r="AL531" t="str">
        <f t="shared" ca="1" si="89"/>
        <v/>
      </c>
      <c r="AM531" t="str">
        <f t="shared" si="90"/>
        <v/>
      </c>
      <c r="AN531" s="172">
        <f t="shared" si="91"/>
        <v>0</v>
      </c>
      <c r="AO531">
        <f t="shared" si="92"/>
        <v>0</v>
      </c>
      <c r="AP531" t="str">
        <f t="shared" ca="1" si="93"/>
        <v/>
      </c>
      <c r="AQ531" t="str">
        <f t="shared" ca="1" si="94"/>
        <v/>
      </c>
      <c r="AR531" s="33" t="str" cm="1">
        <f t="array" aca="1" ref="AR531" ca="1">IF(A531=INDIRECT($AK$4&amp;"!$A$3"),IF(I531&lt;&gt;"",I531&amp;A531,""),"")</f>
        <v/>
      </c>
    </row>
    <row r="532" spans="1:44" ht="20.100000000000001" customHeight="1">
      <c r="A532" s="11">
        <f t="shared" si="96"/>
        <v>45797</v>
      </c>
      <c r="C532" s="39"/>
      <c r="Z532" s="154" t="str">
        <f t="shared" si="97"/>
        <v/>
      </c>
      <c r="AE532" s="172">
        <f t="shared" si="95"/>
        <v>3.472222222222222E-3</v>
      </c>
      <c r="AG532" s="154" t="str">
        <f t="shared" si="98"/>
        <v/>
      </c>
      <c r="AK532" t="e">
        <f t="shared" ca="1" si="88"/>
        <v>#N/A</v>
      </c>
      <c r="AL532" t="str">
        <f t="shared" ca="1" si="89"/>
        <v/>
      </c>
      <c r="AM532" t="str">
        <f t="shared" si="90"/>
        <v/>
      </c>
      <c r="AN532" s="172">
        <f t="shared" si="91"/>
        <v>0</v>
      </c>
      <c r="AO532">
        <f t="shared" si="92"/>
        <v>0</v>
      </c>
      <c r="AP532" t="str">
        <f t="shared" ca="1" si="93"/>
        <v/>
      </c>
      <c r="AQ532" t="str">
        <f t="shared" ca="1" si="94"/>
        <v/>
      </c>
      <c r="AR532" s="33" t="str" cm="1">
        <f t="array" aca="1" ref="AR532" ca="1">IF(A532=INDIRECT($AK$4&amp;"!$A$3"),IF(I532&lt;&gt;"",I532&amp;A532,""),"")</f>
        <v/>
      </c>
    </row>
    <row r="533" spans="1:44" ht="20.100000000000001" customHeight="1">
      <c r="A533" s="11">
        <f t="shared" si="96"/>
        <v>45797</v>
      </c>
      <c r="C533" s="39"/>
      <c r="Z533" s="154" t="str">
        <f t="shared" si="97"/>
        <v/>
      </c>
      <c r="AE533" s="172">
        <f t="shared" si="95"/>
        <v>3.472222222222222E-3</v>
      </c>
      <c r="AG533" s="154" t="str">
        <f t="shared" si="98"/>
        <v/>
      </c>
      <c r="AK533" t="e">
        <f t="shared" ca="1" si="88"/>
        <v>#N/A</v>
      </c>
      <c r="AL533" t="str">
        <f t="shared" ca="1" si="89"/>
        <v/>
      </c>
      <c r="AM533" t="str">
        <f t="shared" si="90"/>
        <v/>
      </c>
      <c r="AN533" s="172">
        <f t="shared" si="91"/>
        <v>0</v>
      </c>
      <c r="AO533">
        <f t="shared" si="92"/>
        <v>0</v>
      </c>
      <c r="AP533" t="str">
        <f t="shared" ca="1" si="93"/>
        <v/>
      </c>
      <c r="AQ533" t="str">
        <f t="shared" ca="1" si="94"/>
        <v/>
      </c>
      <c r="AR533" s="33" t="str" cm="1">
        <f t="array" aca="1" ref="AR533" ca="1">IF(A533=INDIRECT($AK$4&amp;"!$A$3"),IF(I533&lt;&gt;"",I533&amp;A533,""),"")</f>
        <v/>
      </c>
    </row>
    <row r="534" spans="1:44" ht="20.100000000000001" customHeight="1">
      <c r="A534" s="11">
        <f t="shared" si="96"/>
        <v>45797</v>
      </c>
      <c r="C534" s="39"/>
      <c r="Z534" s="154" t="str">
        <f t="shared" si="97"/>
        <v/>
      </c>
      <c r="AE534" s="172">
        <f t="shared" si="95"/>
        <v>3.472222222222222E-3</v>
      </c>
      <c r="AG534" s="154" t="str">
        <f t="shared" si="98"/>
        <v/>
      </c>
      <c r="AK534" t="e">
        <f t="shared" ca="1" si="88"/>
        <v>#N/A</v>
      </c>
      <c r="AL534" t="str">
        <f t="shared" ca="1" si="89"/>
        <v/>
      </c>
      <c r="AM534" t="str">
        <f t="shared" si="90"/>
        <v/>
      </c>
      <c r="AN534" s="172">
        <f t="shared" si="91"/>
        <v>0</v>
      </c>
      <c r="AO534">
        <f t="shared" si="92"/>
        <v>0</v>
      </c>
      <c r="AP534" t="str">
        <f t="shared" ca="1" si="93"/>
        <v/>
      </c>
      <c r="AQ534" t="str">
        <f t="shared" ca="1" si="94"/>
        <v/>
      </c>
      <c r="AR534" s="33" t="str" cm="1">
        <f t="array" aca="1" ref="AR534" ca="1">IF(A534=INDIRECT($AK$4&amp;"!$A$3"),IF(I534&lt;&gt;"",I534&amp;A534,""),"")</f>
        <v/>
      </c>
    </row>
    <row r="535" spans="1:44" ht="20.100000000000001" customHeight="1">
      <c r="A535" s="11">
        <f t="shared" si="96"/>
        <v>45797</v>
      </c>
      <c r="C535" s="39"/>
      <c r="Z535" s="154" t="str">
        <f t="shared" si="97"/>
        <v/>
      </c>
      <c r="AE535" s="172">
        <f t="shared" si="95"/>
        <v>3.472222222222222E-3</v>
      </c>
      <c r="AG535" s="154" t="str">
        <f t="shared" si="98"/>
        <v/>
      </c>
      <c r="AK535" t="e">
        <f t="shared" ca="1" si="88"/>
        <v>#N/A</v>
      </c>
      <c r="AL535" t="str">
        <f t="shared" ca="1" si="89"/>
        <v/>
      </c>
      <c r="AM535" t="str">
        <f t="shared" si="90"/>
        <v/>
      </c>
      <c r="AN535" s="172">
        <f t="shared" si="91"/>
        <v>0</v>
      </c>
      <c r="AO535">
        <f t="shared" si="92"/>
        <v>0</v>
      </c>
      <c r="AP535" t="str">
        <f t="shared" ca="1" si="93"/>
        <v/>
      </c>
      <c r="AQ535" t="str">
        <f t="shared" ca="1" si="94"/>
        <v/>
      </c>
      <c r="AR535" s="33" t="str" cm="1">
        <f t="array" aca="1" ref="AR535" ca="1">IF(A535=INDIRECT($AK$4&amp;"!$A$3"),IF(I535&lt;&gt;"",I535&amp;A535,""),"")</f>
        <v/>
      </c>
    </row>
    <row r="536" spans="1:44" ht="20.100000000000001" customHeight="1">
      <c r="A536" s="11">
        <f t="shared" si="96"/>
        <v>45797</v>
      </c>
      <c r="C536" s="39"/>
      <c r="Z536" s="154" t="str">
        <f t="shared" si="97"/>
        <v/>
      </c>
      <c r="AE536" s="172">
        <f t="shared" si="95"/>
        <v>3.472222222222222E-3</v>
      </c>
      <c r="AG536" s="154" t="str">
        <f t="shared" si="98"/>
        <v/>
      </c>
      <c r="AK536" t="e">
        <f t="shared" ca="1" si="88"/>
        <v>#N/A</v>
      </c>
      <c r="AL536" t="str">
        <f t="shared" ca="1" si="89"/>
        <v/>
      </c>
      <c r="AM536" t="str">
        <f t="shared" si="90"/>
        <v/>
      </c>
      <c r="AN536" s="172">
        <f t="shared" si="91"/>
        <v>0</v>
      </c>
      <c r="AO536">
        <f t="shared" si="92"/>
        <v>0</v>
      </c>
      <c r="AP536" t="str">
        <f t="shared" ca="1" si="93"/>
        <v/>
      </c>
      <c r="AQ536" t="str">
        <f t="shared" ca="1" si="94"/>
        <v/>
      </c>
      <c r="AR536" s="33" t="str" cm="1">
        <f t="array" aca="1" ref="AR536" ca="1">IF(A536=INDIRECT($AK$4&amp;"!$A$3"),IF(I536&lt;&gt;"",I536&amp;A536,""),"")</f>
        <v/>
      </c>
    </row>
    <row r="537" spans="1:44" ht="20.100000000000001" customHeight="1">
      <c r="A537" s="11">
        <f t="shared" si="96"/>
        <v>45797</v>
      </c>
      <c r="C537" s="39"/>
      <c r="Z537" s="154" t="str">
        <f t="shared" si="97"/>
        <v/>
      </c>
      <c r="AE537" s="172">
        <f t="shared" si="95"/>
        <v>3.472222222222222E-3</v>
      </c>
      <c r="AG537" s="154" t="str">
        <f t="shared" si="98"/>
        <v/>
      </c>
      <c r="AK537" t="e">
        <f t="shared" ca="1" si="88"/>
        <v>#N/A</v>
      </c>
      <c r="AL537" t="str">
        <f t="shared" ca="1" si="89"/>
        <v/>
      </c>
      <c r="AM537" t="str">
        <f t="shared" si="90"/>
        <v/>
      </c>
      <c r="AN537" s="172">
        <f t="shared" si="91"/>
        <v>0</v>
      </c>
      <c r="AO537">
        <f t="shared" si="92"/>
        <v>0</v>
      </c>
      <c r="AP537" t="str">
        <f t="shared" ca="1" si="93"/>
        <v/>
      </c>
      <c r="AQ537" t="str">
        <f t="shared" ca="1" si="94"/>
        <v/>
      </c>
      <c r="AR537" s="33" t="str" cm="1">
        <f t="array" aca="1" ref="AR537" ca="1">IF(A537=INDIRECT($AK$4&amp;"!$A$3"),IF(I537&lt;&gt;"",I537&amp;A537,""),"")</f>
        <v/>
      </c>
    </row>
    <row r="538" spans="1:44" ht="20.100000000000001" customHeight="1">
      <c r="A538" s="11">
        <f t="shared" si="96"/>
        <v>45797</v>
      </c>
      <c r="C538" s="39"/>
      <c r="Z538" s="154" t="str">
        <f t="shared" si="97"/>
        <v/>
      </c>
      <c r="AE538" s="172">
        <f t="shared" si="95"/>
        <v>3.472222222222222E-3</v>
      </c>
      <c r="AG538" s="154" t="str">
        <f t="shared" si="98"/>
        <v/>
      </c>
      <c r="AK538" t="e">
        <f t="shared" ca="1" si="88"/>
        <v>#N/A</v>
      </c>
      <c r="AL538" t="str">
        <f t="shared" ca="1" si="89"/>
        <v/>
      </c>
      <c r="AM538" t="str">
        <f t="shared" si="90"/>
        <v/>
      </c>
      <c r="AN538" s="172">
        <f t="shared" si="91"/>
        <v>0</v>
      </c>
      <c r="AO538">
        <f t="shared" si="92"/>
        <v>0</v>
      </c>
      <c r="AP538" t="str">
        <f t="shared" ca="1" si="93"/>
        <v/>
      </c>
      <c r="AQ538" t="str">
        <f t="shared" ca="1" si="94"/>
        <v/>
      </c>
      <c r="AR538" s="33" t="str" cm="1">
        <f t="array" aca="1" ref="AR538" ca="1">IF(A538=INDIRECT($AK$4&amp;"!$A$3"),IF(I538&lt;&gt;"",I538&amp;A538,""),"")</f>
        <v/>
      </c>
    </row>
    <row r="539" spans="1:44" ht="20.100000000000001" customHeight="1">
      <c r="A539" s="11">
        <f t="shared" si="96"/>
        <v>45797</v>
      </c>
      <c r="C539" s="39"/>
      <c r="Z539" s="154" t="str">
        <f t="shared" si="97"/>
        <v/>
      </c>
      <c r="AE539" s="172">
        <f t="shared" si="95"/>
        <v>3.472222222222222E-3</v>
      </c>
      <c r="AG539" s="154" t="str">
        <f t="shared" si="98"/>
        <v/>
      </c>
      <c r="AK539" t="e">
        <f t="shared" ca="1" si="88"/>
        <v>#N/A</v>
      </c>
      <c r="AL539" t="str">
        <f t="shared" ca="1" si="89"/>
        <v/>
      </c>
      <c r="AM539" t="str">
        <f t="shared" si="90"/>
        <v/>
      </c>
      <c r="AN539" s="172">
        <f t="shared" si="91"/>
        <v>0</v>
      </c>
      <c r="AO539">
        <f t="shared" si="92"/>
        <v>0</v>
      </c>
      <c r="AP539" t="str">
        <f t="shared" ca="1" si="93"/>
        <v/>
      </c>
      <c r="AQ539" t="str">
        <f t="shared" ca="1" si="94"/>
        <v/>
      </c>
      <c r="AR539" s="33" t="str" cm="1">
        <f t="array" aca="1" ref="AR539" ca="1">IF(A539=INDIRECT($AK$4&amp;"!$A$3"),IF(I539&lt;&gt;"",I539&amp;A539,""),"")</f>
        <v/>
      </c>
    </row>
    <row r="540" spans="1:44" ht="20.100000000000001" customHeight="1">
      <c r="A540" s="11">
        <f t="shared" si="96"/>
        <v>45797</v>
      </c>
      <c r="C540" s="39"/>
      <c r="Z540" s="154" t="str">
        <f t="shared" si="97"/>
        <v/>
      </c>
      <c r="AE540" s="172">
        <f t="shared" si="95"/>
        <v>3.472222222222222E-3</v>
      </c>
      <c r="AG540" s="154" t="str">
        <f t="shared" si="98"/>
        <v/>
      </c>
      <c r="AK540" t="e">
        <f t="shared" ca="1" si="88"/>
        <v>#N/A</v>
      </c>
      <c r="AL540" t="str">
        <f t="shared" ca="1" si="89"/>
        <v/>
      </c>
      <c r="AM540" t="str">
        <f t="shared" si="90"/>
        <v/>
      </c>
      <c r="AN540" s="172">
        <f t="shared" si="91"/>
        <v>0</v>
      </c>
      <c r="AO540">
        <f t="shared" si="92"/>
        <v>0</v>
      </c>
      <c r="AP540" t="str">
        <f t="shared" ca="1" si="93"/>
        <v/>
      </c>
      <c r="AQ540" t="str">
        <f t="shared" ca="1" si="94"/>
        <v/>
      </c>
      <c r="AR540" s="33" t="str" cm="1">
        <f t="array" aca="1" ref="AR540" ca="1">IF(A540=INDIRECT($AK$4&amp;"!$A$3"),IF(I540&lt;&gt;"",I540&amp;A540,""),"")</f>
        <v/>
      </c>
    </row>
    <row r="541" spans="1:44" ht="20.100000000000001" customHeight="1">
      <c r="A541" s="11">
        <f t="shared" si="96"/>
        <v>45797</v>
      </c>
      <c r="C541" s="39"/>
      <c r="Z541" s="154" t="str">
        <f t="shared" si="97"/>
        <v/>
      </c>
      <c r="AE541" s="172">
        <f t="shared" si="95"/>
        <v>3.472222222222222E-3</v>
      </c>
      <c r="AG541" s="154" t="str">
        <f t="shared" si="98"/>
        <v/>
      </c>
      <c r="AK541" t="e">
        <f t="shared" ca="1" si="88"/>
        <v>#N/A</v>
      </c>
      <c r="AL541" t="str">
        <f t="shared" ca="1" si="89"/>
        <v/>
      </c>
      <c r="AM541" t="str">
        <f t="shared" si="90"/>
        <v/>
      </c>
      <c r="AN541" s="172">
        <f t="shared" si="91"/>
        <v>0</v>
      </c>
      <c r="AO541">
        <f t="shared" si="92"/>
        <v>0</v>
      </c>
      <c r="AP541" t="str">
        <f t="shared" ca="1" si="93"/>
        <v/>
      </c>
      <c r="AQ541" t="str">
        <f t="shared" ca="1" si="94"/>
        <v/>
      </c>
      <c r="AR541" s="33" t="str" cm="1">
        <f t="array" aca="1" ref="AR541" ca="1">IF(A541=INDIRECT($AK$4&amp;"!$A$3"),IF(I541&lt;&gt;"",I541&amp;A541,""),"")</f>
        <v/>
      </c>
    </row>
    <row r="542" spans="1:44" ht="20.100000000000001" customHeight="1">
      <c r="A542" s="11">
        <f t="shared" si="96"/>
        <v>45797</v>
      </c>
      <c r="C542" s="39"/>
      <c r="Z542" s="154" t="str">
        <f t="shared" si="97"/>
        <v/>
      </c>
      <c r="AE542" s="172">
        <f t="shared" si="95"/>
        <v>3.472222222222222E-3</v>
      </c>
      <c r="AG542" s="154" t="str">
        <f t="shared" si="98"/>
        <v/>
      </c>
      <c r="AK542" t="e">
        <f t="shared" ca="1" si="88"/>
        <v>#N/A</v>
      </c>
      <c r="AL542" t="str">
        <f t="shared" ca="1" si="89"/>
        <v/>
      </c>
      <c r="AM542" t="str">
        <f t="shared" si="90"/>
        <v/>
      </c>
      <c r="AN542" s="172">
        <f t="shared" si="91"/>
        <v>0</v>
      </c>
      <c r="AO542">
        <f t="shared" si="92"/>
        <v>0</v>
      </c>
      <c r="AP542" t="str">
        <f t="shared" ca="1" si="93"/>
        <v/>
      </c>
      <c r="AQ542" t="str">
        <f t="shared" ca="1" si="94"/>
        <v/>
      </c>
      <c r="AR542" s="33" t="str" cm="1">
        <f t="array" aca="1" ref="AR542" ca="1">IF(A542=INDIRECT($AK$4&amp;"!$A$3"),IF(I542&lt;&gt;"",I542&amp;A542,""),"")</f>
        <v/>
      </c>
    </row>
    <row r="543" spans="1:44" ht="20.100000000000001" customHeight="1">
      <c r="A543" s="11">
        <f t="shared" si="96"/>
        <v>45797</v>
      </c>
      <c r="C543" s="39"/>
      <c r="Z543" s="154" t="str">
        <f t="shared" si="97"/>
        <v/>
      </c>
      <c r="AE543" s="172">
        <f t="shared" si="95"/>
        <v>3.472222222222222E-3</v>
      </c>
      <c r="AG543" s="154" t="str">
        <f t="shared" si="98"/>
        <v/>
      </c>
      <c r="AK543" t="e">
        <f t="shared" ca="1" si="88"/>
        <v>#N/A</v>
      </c>
      <c r="AL543" t="str">
        <f t="shared" ca="1" si="89"/>
        <v/>
      </c>
      <c r="AM543" t="str">
        <f t="shared" si="90"/>
        <v/>
      </c>
      <c r="AN543" s="172">
        <f t="shared" si="91"/>
        <v>0</v>
      </c>
      <c r="AO543">
        <f t="shared" si="92"/>
        <v>0</v>
      </c>
      <c r="AP543" t="str">
        <f t="shared" ca="1" si="93"/>
        <v/>
      </c>
      <c r="AQ543" t="str">
        <f t="shared" ca="1" si="94"/>
        <v/>
      </c>
      <c r="AR543" s="33" t="str" cm="1">
        <f t="array" aca="1" ref="AR543" ca="1">IF(A543=INDIRECT($AK$4&amp;"!$A$3"),IF(I543&lt;&gt;"",I543&amp;A543,""),"")</f>
        <v/>
      </c>
    </row>
    <row r="544" spans="1:44" ht="20.100000000000001" customHeight="1">
      <c r="A544" s="11">
        <f t="shared" si="96"/>
        <v>45797</v>
      </c>
      <c r="C544" s="39"/>
      <c r="Z544" s="154" t="str">
        <f t="shared" si="97"/>
        <v/>
      </c>
      <c r="AE544" s="172">
        <f t="shared" si="95"/>
        <v>3.472222222222222E-3</v>
      </c>
      <c r="AG544" s="154" t="str">
        <f t="shared" si="98"/>
        <v/>
      </c>
      <c r="AK544" t="e">
        <f t="shared" ca="1" si="88"/>
        <v>#N/A</v>
      </c>
      <c r="AL544" t="str">
        <f t="shared" ca="1" si="89"/>
        <v/>
      </c>
      <c r="AM544" t="str">
        <f t="shared" si="90"/>
        <v/>
      </c>
      <c r="AN544" s="172">
        <f t="shared" si="91"/>
        <v>0</v>
      </c>
      <c r="AO544">
        <f t="shared" si="92"/>
        <v>0</v>
      </c>
      <c r="AP544" t="str">
        <f t="shared" ca="1" si="93"/>
        <v/>
      </c>
      <c r="AQ544" t="str">
        <f t="shared" ca="1" si="94"/>
        <v/>
      </c>
      <c r="AR544" s="33" t="str" cm="1">
        <f t="array" aca="1" ref="AR544" ca="1">IF(A544=INDIRECT($AK$4&amp;"!$A$3"),IF(I544&lt;&gt;"",I544&amp;A544,""),"")</f>
        <v/>
      </c>
    </row>
    <row r="545" spans="1:44" ht="20.100000000000001" customHeight="1">
      <c r="A545" s="11">
        <f t="shared" si="96"/>
        <v>45797</v>
      </c>
      <c r="C545" s="39"/>
      <c r="Z545" s="154" t="str">
        <f t="shared" si="97"/>
        <v/>
      </c>
      <c r="AE545" s="172">
        <f t="shared" si="95"/>
        <v>3.472222222222222E-3</v>
      </c>
      <c r="AG545" s="154" t="str">
        <f t="shared" si="98"/>
        <v/>
      </c>
      <c r="AK545" t="e">
        <f t="shared" ca="1" si="88"/>
        <v>#N/A</v>
      </c>
      <c r="AL545" t="str">
        <f t="shared" ca="1" si="89"/>
        <v/>
      </c>
      <c r="AM545" t="str">
        <f t="shared" si="90"/>
        <v/>
      </c>
      <c r="AN545" s="172">
        <f t="shared" si="91"/>
        <v>0</v>
      </c>
      <c r="AO545">
        <f t="shared" si="92"/>
        <v>0</v>
      </c>
      <c r="AP545" t="str">
        <f t="shared" ca="1" si="93"/>
        <v/>
      </c>
      <c r="AQ545" t="str">
        <f t="shared" ca="1" si="94"/>
        <v/>
      </c>
      <c r="AR545" s="33" t="str" cm="1">
        <f t="array" aca="1" ref="AR545" ca="1">IF(A545=INDIRECT($AK$4&amp;"!$A$3"),IF(I545&lt;&gt;"",I545&amp;A545,""),"")</f>
        <v/>
      </c>
    </row>
    <row r="546" spans="1:44" ht="20.100000000000001" customHeight="1">
      <c r="A546" s="11">
        <f t="shared" si="96"/>
        <v>45797</v>
      </c>
      <c r="C546" s="39"/>
      <c r="Z546" s="154" t="str">
        <f t="shared" si="97"/>
        <v/>
      </c>
      <c r="AE546" s="172">
        <f t="shared" si="95"/>
        <v>3.472222222222222E-3</v>
      </c>
      <c r="AG546" s="154" t="str">
        <f t="shared" si="98"/>
        <v/>
      </c>
      <c r="AK546" t="e">
        <f t="shared" ca="1" si="88"/>
        <v>#N/A</v>
      </c>
      <c r="AL546" t="str">
        <f t="shared" ca="1" si="89"/>
        <v/>
      </c>
      <c r="AM546" t="str">
        <f t="shared" si="90"/>
        <v/>
      </c>
      <c r="AN546" s="172">
        <f t="shared" si="91"/>
        <v>0</v>
      </c>
      <c r="AO546">
        <f t="shared" si="92"/>
        <v>0</v>
      </c>
      <c r="AP546" t="str">
        <f t="shared" ca="1" si="93"/>
        <v/>
      </c>
      <c r="AQ546" t="str">
        <f t="shared" ca="1" si="94"/>
        <v/>
      </c>
      <c r="AR546" s="33" t="str" cm="1">
        <f t="array" aca="1" ref="AR546" ca="1">IF(A546=INDIRECT($AK$4&amp;"!$A$3"),IF(I546&lt;&gt;"",I546&amp;A546,""),"")</f>
        <v/>
      </c>
    </row>
    <row r="547" spans="1:44" ht="20.100000000000001" customHeight="1">
      <c r="A547" s="11">
        <f t="shared" si="96"/>
        <v>45797</v>
      </c>
      <c r="C547" s="39"/>
      <c r="Z547" s="154" t="str">
        <f t="shared" si="97"/>
        <v/>
      </c>
      <c r="AE547" s="172">
        <f t="shared" si="95"/>
        <v>3.472222222222222E-3</v>
      </c>
      <c r="AG547" s="154" t="str">
        <f t="shared" si="98"/>
        <v/>
      </c>
      <c r="AK547" t="e">
        <f t="shared" ca="1" si="88"/>
        <v>#N/A</v>
      </c>
      <c r="AL547" t="str">
        <f t="shared" ca="1" si="89"/>
        <v/>
      </c>
      <c r="AM547" t="str">
        <f t="shared" si="90"/>
        <v/>
      </c>
      <c r="AN547" s="172">
        <f t="shared" si="91"/>
        <v>0</v>
      </c>
      <c r="AO547">
        <f t="shared" si="92"/>
        <v>0</v>
      </c>
      <c r="AP547" t="str">
        <f t="shared" ca="1" si="93"/>
        <v/>
      </c>
      <c r="AQ547" t="str">
        <f t="shared" ca="1" si="94"/>
        <v/>
      </c>
      <c r="AR547" s="33" t="str" cm="1">
        <f t="array" aca="1" ref="AR547" ca="1">IF(A547=INDIRECT($AK$4&amp;"!$A$3"),IF(I547&lt;&gt;"",I547&amp;A547,""),"")</f>
        <v/>
      </c>
    </row>
    <row r="548" spans="1:44" ht="20.100000000000001" customHeight="1">
      <c r="A548" s="11">
        <f t="shared" si="96"/>
        <v>45797</v>
      </c>
      <c r="C548" s="39"/>
      <c r="Z548" s="154" t="str">
        <f t="shared" si="97"/>
        <v/>
      </c>
      <c r="AE548" s="172">
        <f t="shared" si="95"/>
        <v>3.472222222222222E-3</v>
      </c>
      <c r="AG548" s="154" t="str">
        <f t="shared" si="98"/>
        <v/>
      </c>
      <c r="AK548" t="e">
        <f t="shared" ca="1" si="88"/>
        <v>#N/A</v>
      </c>
      <c r="AL548" t="str">
        <f t="shared" ca="1" si="89"/>
        <v/>
      </c>
      <c r="AM548" t="str">
        <f t="shared" si="90"/>
        <v/>
      </c>
      <c r="AN548" s="172">
        <f t="shared" si="91"/>
        <v>0</v>
      </c>
      <c r="AO548">
        <f t="shared" si="92"/>
        <v>0</v>
      </c>
      <c r="AP548" t="str">
        <f t="shared" ca="1" si="93"/>
        <v/>
      </c>
      <c r="AQ548" t="str">
        <f t="shared" ca="1" si="94"/>
        <v/>
      </c>
      <c r="AR548" s="33" t="str" cm="1">
        <f t="array" aca="1" ref="AR548" ca="1">IF(A548=INDIRECT($AK$4&amp;"!$A$3"),IF(I548&lt;&gt;"",I548&amp;A548,""),"")</f>
        <v/>
      </c>
    </row>
    <row r="549" spans="1:44" ht="20.100000000000001" customHeight="1">
      <c r="A549" s="11">
        <f t="shared" si="96"/>
        <v>45797</v>
      </c>
      <c r="C549" s="39"/>
      <c r="Z549" s="154" t="str">
        <f t="shared" si="97"/>
        <v/>
      </c>
      <c r="AE549" s="172">
        <f t="shared" si="95"/>
        <v>3.472222222222222E-3</v>
      </c>
      <c r="AG549" s="154" t="str">
        <f t="shared" si="98"/>
        <v/>
      </c>
      <c r="AK549" t="e">
        <f t="shared" ca="1" si="88"/>
        <v>#N/A</v>
      </c>
      <c r="AL549" t="str">
        <f t="shared" ca="1" si="89"/>
        <v/>
      </c>
      <c r="AM549" t="str">
        <f t="shared" si="90"/>
        <v/>
      </c>
      <c r="AN549" s="172">
        <f t="shared" si="91"/>
        <v>0</v>
      </c>
      <c r="AO549">
        <f t="shared" si="92"/>
        <v>0</v>
      </c>
      <c r="AP549" t="str">
        <f t="shared" ca="1" si="93"/>
        <v/>
      </c>
      <c r="AQ549" t="str">
        <f t="shared" ca="1" si="94"/>
        <v/>
      </c>
      <c r="AR549" s="33" t="str" cm="1">
        <f t="array" aca="1" ref="AR549" ca="1">IF(A549=INDIRECT($AK$4&amp;"!$A$3"),IF(I549&lt;&gt;"",I549&amp;A549,""),"")</f>
        <v/>
      </c>
    </row>
    <row r="550" spans="1:44" ht="20.100000000000001" customHeight="1">
      <c r="A550" s="11">
        <f t="shared" si="96"/>
        <v>45797</v>
      </c>
      <c r="C550" s="39"/>
      <c r="Z550" s="154" t="str">
        <f t="shared" si="97"/>
        <v/>
      </c>
      <c r="AE550" s="172">
        <f t="shared" si="95"/>
        <v>3.472222222222222E-3</v>
      </c>
      <c r="AG550" s="154" t="str">
        <f t="shared" si="98"/>
        <v/>
      </c>
      <c r="AK550" t="e">
        <f t="shared" ca="1" si="88"/>
        <v>#N/A</v>
      </c>
      <c r="AL550" t="str">
        <f t="shared" ca="1" si="89"/>
        <v/>
      </c>
      <c r="AM550" t="str">
        <f t="shared" si="90"/>
        <v/>
      </c>
      <c r="AN550" s="172">
        <f t="shared" si="91"/>
        <v>0</v>
      </c>
      <c r="AO550">
        <f t="shared" si="92"/>
        <v>0</v>
      </c>
      <c r="AP550" t="str">
        <f t="shared" ca="1" si="93"/>
        <v/>
      </c>
      <c r="AQ550" t="str">
        <f t="shared" ca="1" si="94"/>
        <v/>
      </c>
      <c r="AR550" s="33" t="str" cm="1">
        <f t="array" aca="1" ref="AR550" ca="1">IF(A550=INDIRECT($AK$4&amp;"!$A$3"),IF(I550&lt;&gt;"",I550&amp;A550,""),"")</f>
        <v/>
      </c>
    </row>
    <row r="551" spans="1:44" ht="20.100000000000001" customHeight="1">
      <c r="A551" s="11">
        <f t="shared" si="96"/>
        <v>45797</v>
      </c>
      <c r="C551" s="39"/>
      <c r="Z551" s="154" t="str">
        <f t="shared" si="97"/>
        <v/>
      </c>
      <c r="AE551" s="172">
        <f t="shared" si="95"/>
        <v>3.472222222222222E-3</v>
      </c>
      <c r="AG551" s="154" t="str">
        <f t="shared" si="98"/>
        <v/>
      </c>
      <c r="AK551" t="e">
        <f t="shared" ca="1" si="88"/>
        <v>#N/A</v>
      </c>
      <c r="AL551" t="str">
        <f t="shared" ca="1" si="89"/>
        <v/>
      </c>
      <c r="AM551" t="str">
        <f t="shared" si="90"/>
        <v/>
      </c>
      <c r="AN551" s="172">
        <f t="shared" si="91"/>
        <v>0</v>
      </c>
      <c r="AO551">
        <f t="shared" si="92"/>
        <v>0</v>
      </c>
      <c r="AP551" t="str">
        <f t="shared" ca="1" si="93"/>
        <v/>
      </c>
      <c r="AQ551" t="str">
        <f t="shared" ca="1" si="94"/>
        <v/>
      </c>
      <c r="AR551" s="33" t="str" cm="1">
        <f t="array" aca="1" ref="AR551" ca="1">IF(A551=INDIRECT($AK$4&amp;"!$A$3"),IF(I551&lt;&gt;"",I551&amp;A551,""),"")</f>
        <v/>
      </c>
    </row>
    <row r="552" spans="1:44" ht="20.100000000000001" customHeight="1">
      <c r="A552" s="11">
        <f t="shared" si="96"/>
        <v>45797</v>
      </c>
      <c r="C552" s="39"/>
      <c r="Z552" s="154" t="str">
        <f t="shared" si="97"/>
        <v/>
      </c>
      <c r="AE552" s="172">
        <f t="shared" si="95"/>
        <v>3.472222222222222E-3</v>
      </c>
      <c r="AG552" s="154" t="str">
        <f t="shared" si="98"/>
        <v/>
      </c>
      <c r="AK552" t="e">
        <f t="shared" ca="1" si="88"/>
        <v>#N/A</v>
      </c>
      <c r="AL552" t="str">
        <f t="shared" ca="1" si="89"/>
        <v/>
      </c>
      <c r="AM552" t="str">
        <f t="shared" si="90"/>
        <v/>
      </c>
      <c r="AN552" s="172">
        <f t="shared" si="91"/>
        <v>0</v>
      </c>
      <c r="AO552">
        <f t="shared" si="92"/>
        <v>0</v>
      </c>
      <c r="AP552" t="str">
        <f t="shared" ca="1" si="93"/>
        <v/>
      </c>
      <c r="AQ552" t="str">
        <f t="shared" ca="1" si="94"/>
        <v/>
      </c>
      <c r="AR552" s="33" t="str" cm="1">
        <f t="array" aca="1" ref="AR552" ca="1">IF(A552=INDIRECT($AK$4&amp;"!$A$3"),IF(I552&lt;&gt;"",I552&amp;A552,""),"")</f>
        <v/>
      </c>
    </row>
    <row r="553" spans="1:44" ht="20.100000000000001" customHeight="1">
      <c r="A553" s="11">
        <f t="shared" si="96"/>
        <v>45797</v>
      </c>
      <c r="C553" s="39"/>
      <c r="Z553" s="154" t="str">
        <f t="shared" si="97"/>
        <v/>
      </c>
      <c r="AE553" s="172">
        <f t="shared" si="95"/>
        <v>3.472222222222222E-3</v>
      </c>
      <c r="AG553" s="154" t="str">
        <f t="shared" si="98"/>
        <v/>
      </c>
      <c r="AK553" t="e">
        <f t="shared" ca="1" si="88"/>
        <v>#N/A</v>
      </c>
      <c r="AL553" t="str">
        <f t="shared" ca="1" si="89"/>
        <v/>
      </c>
      <c r="AM553" t="str">
        <f t="shared" si="90"/>
        <v/>
      </c>
      <c r="AN553" s="172">
        <f t="shared" si="91"/>
        <v>0</v>
      </c>
      <c r="AO553">
        <f t="shared" si="92"/>
        <v>0</v>
      </c>
      <c r="AP553" t="str">
        <f t="shared" ca="1" si="93"/>
        <v/>
      </c>
      <c r="AQ553" t="str">
        <f t="shared" ca="1" si="94"/>
        <v/>
      </c>
      <c r="AR553" s="33" t="str" cm="1">
        <f t="array" aca="1" ref="AR553" ca="1">IF(A553=INDIRECT($AK$4&amp;"!$A$3"),IF(I553&lt;&gt;"",I553&amp;A553,""),"")</f>
        <v/>
      </c>
    </row>
    <row r="554" spans="1:44" ht="20.100000000000001" customHeight="1">
      <c r="A554" s="11">
        <f t="shared" si="96"/>
        <v>45797</v>
      </c>
      <c r="C554" s="39"/>
      <c r="Z554" s="154" t="str">
        <f t="shared" si="97"/>
        <v/>
      </c>
      <c r="AE554" s="172">
        <f t="shared" si="95"/>
        <v>3.472222222222222E-3</v>
      </c>
      <c r="AG554" s="154" t="str">
        <f t="shared" si="98"/>
        <v/>
      </c>
      <c r="AK554" t="e">
        <f t="shared" ca="1" si="88"/>
        <v>#N/A</v>
      </c>
      <c r="AL554" t="str">
        <f t="shared" ca="1" si="89"/>
        <v/>
      </c>
      <c r="AM554" t="str">
        <f t="shared" si="90"/>
        <v/>
      </c>
      <c r="AN554" s="172">
        <f t="shared" si="91"/>
        <v>0</v>
      </c>
      <c r="AO554">
        <f t="shared" si="92"/>
        <v>0</v>
      </c>
      <c r="AP554" t="str">
        <f t="shared" ca="1" si="93"/>
        <v/>
      </c>
      <c r="AQ554" t="str">
        <f t="shared" ca="1" si="94"/>
        <v/>
      </c>
      <c r="AR554" s="33" t="str" cm="1">
        <f t="array" aca="1" ref="AR554" ca="1">IF(A554=INDIRECT($AK$4&amp;"!$A$3"),IF(I554&lt;&gt;"",I554&amp;A554,""),"")</f>
        <v/>
      </c>
    </row>
    <row r="555" spans="1:44" ht="20.100000000000001" customHeight="1">
      <c r="A555" s="11">
        <f t="shared" si="96"/>
        <v>45797</v>
      </c>
      <c r="C555" s="39"/>
      <c r="Z555" s="154" t="str">
        <f t="shared" si="97"/>
        <v/>
      </c>
      <c r="AE555" s="172">
        <f t="shared" si="95"/>
        <v>3.472222222222222E-3</v>
      </c>
      <c r="AG555" s="154" t="str">
        <f t="shared" si="98"/>
        <v/>
      </c>
      <c r="AK555" t="e">
        <f t="shared" ca="1" si="88"/>
        <v>#N/A</v>
      </c>
      <c r="AL555" t="str">
        <f t="shared" ca="1" si="89"/>
        <v/>
      </c>
      <c r="AM555" t="str">
        <f t="shared" si="90"/>
        <v/>
      </c>
      <c r="AN555" s="172">
        <f t="shared" si="91"/>
        <v>0</v>
      </c>
      <c r="AO555">
        <f t="shared" si="92"/>
        <v>0</v>
      </c>
      <c r="AP555" t="str">
        <f t="shared" ca="1" si="93"/>
        <v/>
      </c>
      <c r="AQ555" t="str">
        <f t="shared" ca="1" si="94"/>
        <v/>
      </c>
      <c r="AR555" s="33" t="str" cm="1">
        <f t="array" aca="1" ref="AR555" ca="1">IF(A555=INDIRECT($AK$4&amp;"!$A$3"),IF(I555&lt;&gt;"",I555&amp;A555,""),"")</f>
        <v/>
      </c>
    </row>
    <row r="556" spans="1:44" ht="20.100000000000001" customHeight="1">
      <c r="A556" s="11">
        <f t="shared" si="96"/>
        <v>45797</v>
      </c>
      <c r="C556" s="39"/>
      <c r="Z556" s="154" t="str">
        <f t="shared" si="97"/>
        <v/>
      </c>
      <c r="AE556" s="172">
        <f t="shared" si="95"/>
        <v>3.472222222222222E-3</v>
      </c>
      <c r="AG556" s="154" t="str">
        <f t="shared" si="98"/>
        <v/>
      </c>
      <c r="AK556" t="e">
        <f t="shared" ca="1" si="88"/>
        <v>#N/A</v>
      </c>
      <c r="AL556" t="str">
        <f t="shared" ca="1" si="89"/>
        <v/>
      </c>
      <c r="AM556" t="str">
        <f t="shared" si="90"/>
        <v/>
      </c>
      <c r="AN556" s="172">
        <f t="shared" si="91"/>
        <v>0</v>
      </c>
      <c r="AO556">
        <f t="shared" si="92"/>
        <v>0</v>
      </c>
      <c r="AP556" t="str">
        <f t="shared" ca="1" si="93"/>
        <v/>
      </c>
      <c r="AQ556" t="str">
        <f t="shared" ca="1" si="94"/>
        <v/>
      </c>
      <c r="AR556" s="33" t="str" cm="1">
        <f t="array" aca="1" ref="AR556" ca="1">IF(A556=INDIRECT($AK$4&amp;"!$A$3"),IF(I556&lt;&gt;"",I556&amp;A556,""),"")</f>
        <v/>
      </c>
    </row>
    <row r="557" spans="1:44" ht="20.100000000000001" customHeight="1">
      <c r="A557" s="11">
        <f t="shared" si="96"/>
        <v>45797</v>
      </c>
      <c r="C557" s="39"/>
      <c r="Z557" s="154" t="str">
        <f t="shared" si="97"/>
        <v/>
      </c>
      <c r="AE557" s="172">
        <f t="shared" si="95"/>
        <v>3.472222222222222E-3</v>
      </c>
      <c r="AG557" s="154" t="str">
        <f t="shared" si="98"/>
        <v/>
      </c>
      <c r="AK557" t="e">
        <f t="shared" ca="1" si="88"/>
        <v>#N/A</v>
      </c>
      <c r="AL557" t="str">
        <f t="shared" ca="1" si="89"/>
        <v/>
      </c>
      <c r="AM557" t="str">
        <f t="shared" si="90"/>
        <v/>
      </c>
      <c r="AN557" s="172">
        <f t="shared" si="91"/>
        <v>0</v>
      </c>
      <c r="AO557">
        <f t="shared" si="92"/>
        <v>0</v>
      </c>
      <c r="AP557" t="str">
        <f t="shared" ca="1" si="93"/>
        <v/>
      </c>
      <c r="AQ557" t="str">
        <f t="shared" ca="1" si="94"/>
        <v/>
      </c>
      <c r="AR557" s="33" t="str" cm="1">
        <f t="array" aca="1" ref="AR557" ca="1">IF(A557=INDIRECT($AK$4&amp;"!$A$3"),IF(I557&lt;&gt;"",I557&amp;A557,""),"")</f>
        <v/>
      </c>
    </row>
    <row r="558" spans="1:44" ht="20.100000000000001" customHeight="1">
      <c r="A558" s="11">
        <f t="shared" si="96"/>
        <v>45797</v>
      </c>
      <c r="C558" s="39"/>
      <c r="Z558" s="154" t="str">
        <f t="shared" si="97"/>
        <v/>
      </c>
      <c r="AE558" s="172">
        <f t="shared" si="95"/>
        <v>3.472222222222222E-3</v>
      </c>
      <c r="AG558" s="154" t="str">
        <f t="shared" si="98"/>
        <v/>
      </c>
      <c r="AK558" t="e">
        <f t="shared" ca="1" si="88"/>
        <v>#N/A</v>
      </c>
      <c r="AL558" t="str">
        <f t="shared" ca="1" si="89"/>
        <v/>
      </c>
      <c r="AM558" t="str">
        <f t="shared" si="90"/>
        <v/>
      </c>
      <c r="AN558" s="172">
        <f t="shared" si="91"/>
        <v>0</v>
      </c>
      <c r="AO558">
        <f t="shared" si="92"/>
        <v>0</v>
      </c>
      <c r="AP558" t="str">
        <f t="shared" ca="1" si="93"/>
        <v/>
      </c>
      <c r="AQ558" t="str">
        <f t="shared" ca="1" si="94"/>
        <v/>
      </c>
      <c r="AR558" s="33" t="str" cm="1">
        <f t="array" aca="1" ref="AR558" ca="1">IF(A558=INDIRECT($AK$4&amp;"!$A$3"),IF(I558&lt;&gt;"",I558&amp;A558,""),"")</f>
        <v/>
      </c>
    </row>
    <row r="559" spans="1:44" ht="20.100000000000001" customHeight="1">
      <c r="A559" s="11">
        <f t="shared" si="96"/>
        <v>45797</v>
      </c>
      <c r="C559" s="39"/>
      <c r="Z559" s="154" t="str">
        <f t="shared" si="97"/>
        <v/>
      </c>
      <c r="AE559" s="172">
        <f t="shared" si="95"/>
        <v>3.472222222222222E-3</v>
      </c>
      <c r="AG559" s="154" t="str">
        <f t="shared" si="98"/>
        <v/>
      </c>
      <c r="AK559" t="e">
        <f t="shared" ca="1" si="88"/>
        <v>#N/A</v>
      </c>
      <c r="AL559" t="str">
        <f t="shared" ca="1" si="89"/>
        <v/>
      </c>
      <c r="AM559" t="str">
        <f t="shared" si="90"/>
        <v/>
      </c>
      <c r="AN559" s="172">
        <f t="shared" si="91"/>
        <v>0</v>
      </c>
      <c r="AO559">
        <f t="shared" si="92"/>
        <v>0</v>
      </c>
      <c r="AP559" t="str">
        <f t="shared" ca="1" si="93"/>
        <v/>
      </c>
      <c r="AQ559" t="str">
        <f t="shared" ca="1" si="94"/>
        <v/>
      </c>
      <c r="AR559" s="33" t="str" cm="1">
        <f t="array" aca="1" ref="AR559" ca="1">IF(A559=INDIRECT($AK$4&amp;"!$A$3"),IF(I559&lt;&gt;"",I559&amp;A559,""),"")</f>
        <v/>
      </c>
    </row>
    <row r="560" spans="1:44" ht="20.100000000000001" customHeight="1">
      <c r="A560" s="11">
        <f t="shared" si="96"/>
        <v>45797</v>
      </c>
      <c r="C560" s="39"/>
      <c r="Z560" s="154" t="str">
        <f t="shared" si="97"/>
        <v/>
      </c>
      <c r="AE560" s="172">
        <f t="shared" si="95"/>
        <v>3.472222222222222E-3</v>
      </c>
      <c r="AG560" s="154" t="str">
        <f t="shared" si="98"/>
        <v/>
      </c>
      <c r="AK560" t="e">
        <f t="shared" ca="1" si="88"/>
        <v>#N/A</v>
      </c>
      <c r="AL560" t="str">
        <f t="shared" ca="1" si="89"/>
        <v/>
      </c>
      <c r="AM560" t="str">
        <f t="shared" si="90"/>
        <v/>
      </c>
      <c r="AN560" s="172">
        <f t="shared" si="91"/>
        <v>0</v>
      </c>
      <c r="AO560">
        <f t="shared" si="92"/>
        <v>0</v>
      </c>
      <c r="AP560" t="str">
        <f t="shared" ca="1" si="93"/>
        <v/>
      </c>
      <c r="AQ560" t="str">
        <f t="shared" ca="1" si="94"/>
        <v/>
      </c>
      <c r="AR560" s="33" t="str" cm="1">
        <f t="array" aca="1" ref="AR560" ca="1">IF(A560=INDIRECT($AK$4&amp;"!$A$3"),IF(I560&lt;&gt;"",I560&amp;A560,""),"")</f>
        <v/>
      </c>
    </row>
    <row r="561" spans="1:44" ht="20.100000000000001" customHeight="1">
      <c r="A561" s="11">
        <f t="shared" si="96"/>
        <v>45797</v>
      </c>
      <c r="C561" s="39"/>
      <c r="Z561" s="154" t="str">
        <f t="shared" si="97"/>
        <v/>
      </c>
      <c r="AE561" s="172">
        <f t="shared" si="95"/>
        <v>3.472222222222222E-3</v>
      </c>
      <c r="AG561" s="154" t="str">
        <f t="shared" si="98"/>
        <v/>
      </c>
      <c r="AK561" t="e">
        <f t="shared" ca="1" si="88"/>
        <v>#N/A</v>
      </c>
      <c r="AL561" t="str">
        <f t="shared" ca="1" si="89"/>
        <v/>
      </c>
      <c r="AM561" t="str">
        <f t="shared" si="90"/>
        <v/>
      </c>
      <c r="AN561" s="172">
        <f t="shared" si="91"/>
        <v>0</v>
      </c>
      <c r="AO561">
        <f t="shared" si="92"/>
        <v>0</v>
      </c>
      <c r="AP561" t="str">
        <f t="shared" ca="1" si="93"/>
        <v/>
      </c>
      <c r="AQ561" t="str">
        <f t="shared" ca="1" si="94"/>
        <v/>
      </c>
      <c r="AR561" s="33" t="str" cm="1">
        <f t="array" aca="1" ref="AR561" ca="1">IF(A561=INDIRECT($AK$4&amp;"!$A$3"),IF(I561&lt;&gt;"",I561&amp;A561,""),"")</f>
        <v/>
      </c>
    </row>
    <row r="562" spans="1:44" ht="20.100000000000001" customHeight="1">
      <c r="A562" s="11">
        <f t="shared" si="96"/>
        <v>45797</v>
      </c>
      <c r="C562" s="39"/>
      <c r="Z562" s="154" t="str">
        <f t="shared" si="97"/>
        <v/>
      </c>
      <c r="AE562" s="172">
        <f t="shared" si="95"/>
        <v>3.472222222222222E-3</v>
      </c>
      <c r="AG562" s="154" t="str">
        <f t="shared" si="98"/>
        <v/>
      </c>
      <c r="AK562" t="e">
        <f t="shared" ca="1" si="88"/>
        <v>#N/A</v>
      </c>
      <c r="AL562" t="str">
        <f t="shared" ca="1" si="89"/>
        <v/>
      </c>
      <c r="AM562" t="str">
        <f t="shared" si="90"/>
        <v/>
      </c>
      <c r="AN562" s="172">
        <f t="shared" si="91"/>
        <v>0</v>
      </c>
      <c r="AO562">
        <f t="shared" si="92"/>
        <v>0</v>
      </c>
      <c r="AP562" t="str">
        <f t="shared" ca="1" si="93"/>
        <v/>
      </c>
      <c r="AQ562" t="str">
        <f t="shared" ca="1" si="94"/>
        <v/>
      </c>
      <c r="AR562" s="33" t="str" cm="1">
        <f t="array" aca="1" ref="AR562" ca="1">IF(A562=INDIRECT($AK$4&amp;"!$A$3"),IF(I562&lt;&gt;"",I562&amp;A562,""),"")</f>
        <v/>
      </c>
    </row>
    <row r="563" spans="1:44" ht="20.100000000000001" customHeight="1">
      <c r="A563" s="11">
        <f t="shared" si="96"/>
        <v>45797</v>
      </c>
      <c r="C563" s="39"/>
      <c r="Z563" s="154" t="str">
        <f t="shared" si="97"/>
        <v/>
      </c>
      <c r="AE563" s="172">
        <f t="shared" si="95"/>
        <v>3.472222222222222E-3</v>
      </c>
      <c r="AG563" s="154" t="str">
        <f t="shared" si="98"/>
        <v/>
      </c>
      <c r="AK563" t="e">
        <f t="shared" ca="1" si="88"/>
        <v>#N/A</v>
      </c>
      <c r="AL563" t="str">
        <f t="shared" ca="1" si="89"/>
        <v/>
      </c>
      <c r="AM563" t="str">
        <f t="shared" si="90"/>
        <v/>
      </c>
      <c r="AN563" s="172">
        <f t="shared" si="91"/>
        <v>0</v>
      </c>
      <c r="AO563">
        <f t="shared" si="92"/>
        <v>0</v>
      </c>
      <c r="AP563" t="str">
        <f t="shared" ca="1" si="93"/>
        <v/>
      </c>
      <c r="AQ563" t="str">
        <f t="shared" ca="1" si="94"/>
        <v/>
      </c>
      <c r="AR563" s="33" t="str" cm="1">
        <f t="array" aca="1" ref="AR563" ca="1">IF(A563=INDIRECT($AK$4&amp;"!$A$3"),IF(I563&lt;&gt;"",I563&amp;A563,""),"")</f>
        <v/>
      </c>
    </row>
    <row r="564" spans="1:44" ht="20.100000000000001" customHeight="1">
      <c r="A564" s="11">
        <f t="shared" si="96"/>
        <v>45797</v>
      </c>
      <c r="C564" s="39"/>
      <c r="Z564" s="154" t="str">
        <f t="shared" si="97"/>
        <v/>
      </c>
      <c r="AE564" s="172">
        <f t="shared" si="95"/>
        <v>3.472222222222222E-3</v>
      </c>
      <c r="AG564" s="154" t="str">
        <f t="shared" si="98"/>
        <v/>
      </c>
      <c r="AK564" t="e">
        <f t="shared" ca="1" si="88"/>
        <v>#N/A</v>
      </c>
      <c r="AL564" t="str">
        <f t="shared" ca="1" si="89"/>
        <v/>
      </c>
      <c r="AM564" t="str">
        <f t="shared" si="90"/>
        <v/>
      </c>
      <c r="AN564" s="172">
        <f t="shared" si="91"/>
        <v>0</v>
      </c>
      <c r="AO564">
        <f t="shared" si="92"/>
        <v>0</v>
      </c>
      <c r="AP564" t="str">
        <f t="shared" ca="1" si="93"/>
        <v/>
      </c>
      <c r="AQ564" t="str">
        <f t="shared" ca="1" si="94"/>
        <v/>
      </c>
      <c r="AR564" s="33" t="str" cm="1">
        <f t="array" aca="1" ref="AR564" ca="1">IF(A564=INDIRECT($AK$4&amp;"!$A$3"),IF(I564&lt;&gt;"",I564&amp;A564,""),"")</f>
        <v/>
      </c>
    </row>
    <row r="565" spans="1:44" ht="20.100000000000001" customHeight="1">
      <c r="A565" s="11">
        <f t="shared" si="96"/>
        <v>45797</v>
      </c>
      <c r="C565" s="39"/>
      <c r="Z565" s="154" t="str">
        <f t="shared" si="97"/>
        <v/>
      </c>
      <c r="AE565" s="172">
        <f t="shared" si="95"/>
        <v>3.472222222222222E-3</v>
      </c>
      <c r="AG565" s="154" t="str">
        <f t="shared" si="98"/>
        <v/>
      </c>
      <c r="AK565" t="e">
        <f t="shared" ca="1" si="88"/>
        <v>#N/A</v>
      </c>
      <c r="AL565" t="str">
        <f t="shared" ca="1" si="89"/>
        <v/>
      </c>
      <c r="AM565" t="str">
        <f t="shared" si="90"/>
        <v/>
      </c>
      <c r="AN565" s="172">
        <f t="shared" si="91"/>
        <v>0</v>
      </c>
      <c r="AO565">
        <f t="shared" si="92"/>
        <v>0</v>
      </c>
      <c r="AP565" t="str">
        <f t="shared" ca="1" si="93"/>
        <v/>
      </c>
      <c r="AQ565" t="str">
        <f t="shared" ca="1" si="94"/>
        <v/>
      </c>
      <c r="AR565" s="33" t="str" cm="1">
        <f t="array" aca="1" ref="AR565" ca="1">IF(A565=INDIRECT($AK$4&amp;"!$A$3"),IF(I565&lt;&gt;"",I565&amp;A565,""),"")</f>
        <v/>
      </c>
    </row>
    <row r="566" spans="1:44" ht="20.100000000000001" customHeight="1">
      <c r="A566" s="11">
        <f t="shared" si="96"/>
        <v>45797</v>
      </c>
      <c r="C566" s="39"/>
      <c r="Z566" s="154" t="str">
        <f t="shared" si="97"/>
        <v/>
      </c>
      <c r="AE566" s="172">
        <f t="shared" si="95"/>
        <v>3.472222222222222E-3</v>
      </c>
      <c r="AG566" s="154" t="str">
        <f t="shared" si="98"/>
        <v/>
      </c>
      <c r="AK566" t="e">
        <f t="shared" ca="1" si="88"/>
        <v>#N/A</v>
      </c>
      <c r="AL566" t="str">
        <f t="shared" ca="1" si="89"/>
        <v/>
      </c>
      <c r="AM566" t="str">
        <f t="shared" si="90"/>
        <v/>
      </c>
      <c r="AN566" s="172">
        <f t="shared" si="91"/>
        <v>0</v>
      </c>
      <c r="AO566">
        <f t="shared" si="92"/>
        <v>0</v>
      </c>
      <c r="AP566" t="str">
        <f t="shared" ca="1" si="93"/>
        <v/>
      </c>
      <c r="AQ566" t="str">
        <f t="shared" ca="1" si="94"/>
        <v/>
      </c>
      <c r="AR566" s="33" t="str" cm="1">
        <f t="array" aca="1" ref="AR566" ca="1">IF(A566=INDIRECT($AK$4&amp;"!$A$3"),IF(I566&lt;&gt;"",I566&amp;A566,""),"")</f>
        <v/>
      </c>
    </row>
    <row r="567" spans="1:44" ht="20.100000000000001" customHeight="1">
      <c r="A567" s="11">
        <f t="shared" si="96"/>
        <v>45797</v>
      </c>
      <c r="C567" s="39"/>
      <c r="Z567" s="154" t="str">
        <f t="shared" si="97"/>
        <v/>
      </c>
      <c r="AE567" s="172">
        <f t="shared" si="95"/>
        <v>3.472222222222222E-3</v>
      </c>
      <c r="AG567" s="154" t="str">
        <f t="shared" si="98"/>
        <v/>
      </c>
      <c r="AK567" t="e">
        <f t="shared" ref="AK567:AK630" ca="1" si="99">VLOOKUP($B567,INDIRECT($AK$4&amp;"!$Z$3:$AB$17"),3,FALSE)</f>
        <v>#N/A</v>
      </c>
      <c r="AL567" t="str">
        <f t="shared" ref="AL567:AL630" ca="1" si="100">IFERROR(AK567,"")</f>
        <v/>
      </c>
      <c r="AM567" t="str">
        <f t="shared" ref="AM567:AM630" si="101">IF(L567&lt;&gt;"",L567&amp;A567,"")</f>
        <v/>
      </c>
      <c r="AN567" s="172">
        <f t="shared" ref="AN567:AN630" si="102">AF567</f>
        <v>0</v>
      </c>
      <c r="AO567">
        <f t="shared" ref="AO567:AO630" si="103">IF(AND(L567&lt;&gt;"",O567&lt;&gt;"別ルート",O567&lt;&gt;"DS一時停止中",O567&lt;&gt;"RESCUER数時間後",O567&lt;&gt;"DSレスキュー済",O567&lt;&gt;"合流前Rescuee ",O567&lt;&gt;"合流前RESCUER",O567&lt;&gt;"DS完了",O567&lt;&gt;"Cortex Issue",V567&lt;&gt;"一時拒否",V567&lt;&gt;"終日拒否",V567&lt;&gt;"電話不通x2",V567&lt;&gt;"ー",V567&lt;&gt;"外国語",AA567&lt;&gt;"拒否",AA567&lt;&gt;"Rescueトラブル",AA567&lt;&gt;"電話不通x2",AA567&lt;&gt;"ー",AA567&lt;&gt;"外国語",AB567&lt;&gt;"拒否",AB567&lt;&gt;"電話不通x2",AB567&lt;&gt;"Rescueトラブル",AB567&lt;&gt;"外国語",AB567&lt;&gt;"ー"),1,0)</f>
        <v>0</v>
      </c>
      <c r="AP567" t="str">
        <f t="shared" ref="AP567:AP630" ca="1" si="104">IFERROR(IF(A567=TODAY(),VLOOKUP($L567,INDIRECT($AK$4&amp;"!AK:AM"),3,FALSE),""),"")</f>
        <v/>
      </c>
      <c r="AQ567" t="str">
        <f t="shared" ref="AQ567:AQ630" ca="1" si="105">IFERROR(IF(A567=TODAY(),VLOOKUP($I567,INDIRECT($AK$4&amp;"!AK:AM"),3,FALSE),""),"")</f>
        <v/>
      </c>
      <c r="AR567" s="33" t="str" cm="1">
        <f t="array" aca="1" ref="AR567" ca="1">IF(A567=INDIRECT($AK$4&amp;"!$A$3"),IF(I567&lt;&gt;"",I567&amp;A567,""),"")</f>
        <v/>
      </c>
    </row>
    <row r="568" spans="1:44" ht="20.100000000000001" customHeight="1">
      <c r="A568" s="11">
        <f t="shared" si="96"/>
        <v>45797</v>
      </c>
      <c r="C568" s="39"/>
      <c r="Z568" s="154" t="str">
        <f t="shared" si="97"/>
        <v/>
      </c>
      <c r="AE568" s="172">
        <f t="shared" si="95"/>
        <v>3.472222222222222E-3</v>
      </c>
      <c r="AG568" s="154" t="str">
        <f t="shared" si="98"/>
        <v/>
      </c>
      <c r="AK568" t="e">
        <f t="shared" ca="1" si="99"/>
        <v>#N/A</v>
      </c>
      <c r="AL568" t="str">
        <f t="shared" ca="1" si="100"/>
        <v/>
      </c>
      <c r="AM568" t="str">
        <f t="shared" si="101"/>
        <v/>
      </c>
      <c r="AN568" s="172">
        <f t="shared" si="102"/>
        <v>0</v>
      </c>
      <c r="AO568">
        <f t="shared" si="103"/>
        <v>0</v>
      </c>
      <c r="AP568" t="str">
        <f t="shared" ca="1" si="104"/>
        <v/>
      </c>
      <c r="AQ568" t="str">
        <f t="shared" ca="1" si="105"/>
        <v/>
      </c>
      <c r="AR568" s="33" t="str" cm="1">
        <f t="array" aca="1" ref="AR568" ca="1">IF(A568=INDIRECT($AK$4&amp;"!$A$3"),IF(I568&lt;&gt;"",I568&amp;A568,""),"")</f>
        <v/>
      </c>
    </row>
    <row r="569" spans="1:44" ht="20.100000000000001" customHeight="1">
      <c r="A569" s="11">
        <f t="shared" si="96"/>
        <v>45797</v>
      </c>
      <c r="C569" s="39"/>
      <c r="Z569" s="154" t="str">
        <f t="shared" si="97"/>
        <v/>
      </c>
      <c r="AE569" s="172">
        <f t="shared" si="95"/>
        <v>3.472222222222222E-3</v>
      </c>
      <c r="AG569" s="154" t="str">
        <f t="shared" si="98"/>
        <v/>
      </c>
      <c r="AK569" t="e">
        <f t="shared" ca="1" si="99"/>
        <v>#N/A</v>
      </c>
      <c r="AL569" t="str">
        <f t="shared" ca="1" si="100"/>
        <v/>
      </c>
      <c r="AM569" t="str">
        <f t="shared" si="101"/>
        <v/>
      </c>
      <c r="AN569" s="172">
        <f t="shared" si="102"/>
        <v>0</v>
      </c>
      <c r="AO569">
        <f t="shared" si="103"/>
        <v>0</v>
      </c>
      <c r="AP569" t="str">
        <f t="shared" ca="1" si="104"/>
        <v/>
      </c>
      <c r="AQ569" t="str">
        <f t="shared" ca="1" si="105"/>
        <v/>
      </c>
      <c r="AR569" s="33" t="str" cm="1">
        <f t="array" aca="1" ref="AR569" ca="1">IF(A569=INDIRECT($AK$4&amp;"!$A$3"),IF(I569&lt;&gt;"",I569&amp;A569,""),"")</f>
        <v/>
      </c>
    </row>
    <row r="570" spans="1:44" ht="20.100000000000001" customHeight="1">
      <c r="A570" s="11">
        <f t="shared" si="96"/>
        <v>45797</v>
      </c>
      <c r="C570" s="39"/>
      <c r="Z570" s="154" t="str">
        <f t="shared" si="97"/>
        <v/>
      </c>
      <c r="AE570" s="172">
        <f t="shared" si="95"/>
        <v>3.472222222222222E-3</v>
      </c>
      <c r="AG570" s="154" t="str">
        <f t="shared" si="98"/>
        <v/>
      </c>
      <c r="AK570" t="e">
        <f t="shared" ca="1" si="99"/>
        <v>#N/A</v>
      </c>
      <c r="AL570" t="str">
        <f t="shared" ca="1" si="100"/>
        <v/>
      </c>
      <c r="AM570" t="str">
        <f t="shared" si="101"/>
        <v/>
      </c>
      <c r="AN570" s="172">
        <f t="shared" si="102"/>
        <v>0</v>
      </c>
      <c r="AO570">
        <f t="shared" si="103"/>
        <v>0</v>
      </c>
      <c r="AP570" t="str">
        <f t="shared" ca="1" si="104"/>
        <v/>
      </c>
      <c r="AQ570" t="str">
        <f t="shared" ca="1" si="105"/>
        <v/>
      </c>
      <c r="AR570" s="33" t="str" cm="1">
        <f t="array" aca="1" ref="AR570" ca="1">IF(A570=INDIRECT($AK$4&amp;"!$A$3"),IF(I570&lt;&gt;"",I570&amp;A570,""),"")</f>
        <v/>
      </c>
    </row>
    <row r="571" spans="1:44" ht="20.100000000000001" customHeight="1">
      <c r="A571" s="11">
        <f t="shared" si="96"/>
        <v>45797</v>
      </c>
      <c r="C571" s="39"/>
      <c r="Z571" s="154" t="str">
        <f t="shared" si="97"/>
        <v/>
      </c>
      <c r="AE571" s="172">
        <f t="shared" si="95"/>
        <v>3.472222222222222E-3</v>
      </c>
      <c r="AG571" s="154" t="str">
        <f t="shared" si="98"/>
        <v/>
      </c>
      <c r="AK571" t="e">
        <f t="shared" ca="1" si="99"/>
        <v>#N/A</v>
      </c>
      <c r="AL571" t="str">
        <f t="shared" ca="1" si="100"/>
        <v/>
      </c>
      <c r="AM571" t="str">
        <f t="shared" si="101"/>
        <v/>
      </c>
      <c r="AN571" s="172">
        <f t="shared" si="102"/>
        <v>0</v>
      </c>
      <c r="AO571">
        <f t="shared" si="103"/>
        <v>0</v>
      </c>
      <c r="AP571" t="str">
        <f t="shared" ca="1" si="104"/>
        <v/>
      </c>
      <c r="AQ571" t="str">
        <f t="shared" ca="1" si="105"/>
        <v/>
      </c>
      <c r="AR571" s="33" t="str" cm="1">
        <f t="array" aca="1" ref="AR571" ca="1">IF(A571=INDIRECT($AK$4&amp;"!$A$3"),IF(I571&lt;&gt;"",I571&amp;A571,""),"")</f>
        <v/>
      </c>
    </row>
    <row r="572" spans="1:44" ht="20.100000000000001" customHeight="1">
      <c r="A572" s="11">
        <f t="shared" si="96"/>
        <v>45797</v>
      </c>
      <c r="C572" s="39"/>
      <c r="Z572" s="154" t="str">
        <f t="shared" si="97"/>
        <v/>
      </c>
      <c r="AE572" s="172">
        <f t="shared" si="95"/>
        <v>3.472222222222222E-3</v>
      </c>
      <c r="AG572" s="154" t="str">
        <f t="shared" si="98"/>
        <v/>
      </c>
      <c r="AK572" t="e">
        <f t="shared" ca="1" si="99"/>
        <v>#N/A</v>
      </c>
      <c r="AL572" t="str">
        <f t="shared" ca="1" si="100"/>
        <v/>
      </c>
      <c r="AM572" t="str">
        <f t="shared" si="101"/>
        <v/>
      </c>
      <c r="AN572" s="172">
        <f t="shared" si="102"/>
        <v>0</v>
      </c>
      <c r="AO572">
        <f t="shared" si="103"/>
        <v>0</v>
      </c>
      <c r="AP572" t="str">
        <f t="shared" ca="1" si="104"/>
        <v/>
      </c>
      <c r="AQ572" t="str">
        <f t="shared" ca="1" si="105"/>
        <v/>
      </c>
      <c r="AR572" s="33" t="str" cm="1">
        <f t="array" aca="1" ref="AR572" ca="1">IF(A572=INDIRECT($AK$4&amp;"!$A$3"),IF(I572&lt;&gt;"",I572&amp;A572,""),"")</f>
        <v/>
      </c>
    </row>
    <row r="573" spans="1:44" ht="20.100000000000001" customHeight="1">
      <c r="A573" s="11">
        <f t="shared" si="96"/>
        <v>45797</v>
      </c>
      <c r="C573" s="39"/>
      <c r="Z573" s="154" t="str">
        <f t="shared" si="97"/>
        <v/>
      </c>
      <c r="AE573" s="172">
        <f t="shared" si="95"/>
        <v>3.472222222222222E-3</v>
      </c>
      <c r="AG573" s="154" t="str">
        <f t="shared" si="98"/>
        <v/>
      </c>
      <c r="AK573" t="e">
        <f t="shared" ca="1" si="99"/>
        <v>#N/A</v>
      </c>
      <c r="AL573" t="str">
        <f t="shared" ca="1" si="100"/>
        <v/>
      </c>
      <c r="AM573" t="str">
        <f t="shared" si="101"/>
        <v/>
      </c>
      <c r="AN573" s="172">
        <f t="shared" si="102"/>
        <v>0</v>
      </c>
      <c r="AO573">
        <f t="shared" si="103"/>
        <v>0</v>
      </c>
      <c r="AP573" t="str">
        <f t="shared" ca="1" si="104"/>
        <v/>
      </c>
      <c r="AQ573" t="str">
        <f t="shared" ca="1" si="105"/>
        <v/>
      </c>
      <c r="AR573" s="33" t="str" cm="1">
        <f t="array" aca="1" ref="AR573" ca="1">IF(A573=INDIRECT($AK$4&amp;"!$A$3"),IF(I573&lt;&gt;"",I573&amp;A573,""),"")</f>
        <v/>
      </c>
    </row>
    <row r="574" spans="1:44" ht="20.100000000000001" customHeight="1">
      <c r="A574" s="11">
        <f t="shared" si="96"/>
        <v>45797</v>
      </c>
      <c r="C574" s="39"/>
      <c r="Z574" s="154" t="str">
        <f t="shared" si="97"/>
        <v/>
      </c>
      <c r="AE574" s="172">
        <f t="shared" si="95"/>
        <v>3.472222222222222E-3</v>
      </c>
      <c r="AG574" s="154" t="str">
        <f t="shared" si="98"/>
        <v/>
      </c>
      <c r="AK574" t="e">
        <f t="shared" ca="1" si="99"/>
        <v>#N/A</v>
      </c>
      <c r="AL574" t="str">
        <f t="shared" ca="1" si="100"/>
        <v/>
      </c>
      <c r="AM574" t="str">
        <f t="shared" si="101"/>
        <v/>
      </c>
      <c r="AN574" s="172">
        <f t="shared" si="102"/>
        <v>0</v>
      </c>
      <c r="AO574">
        <f t="shared" si="103"/>
        <v>0</v>
      </c>
      <c r="AP574" t="str">
        <f t="shared" ca="1" si="104"/>
        <v/>
      </c>
      <c r="AQ574" t="str">
        <f t="shared" ca="1" si="105"/>
        <v/>
      </c>
      <c r="AR574" s="33" t="str" cm="1">
        <f t="array" aca="1" ref="AR574" ca="1">IF(A574=INDIRECT($AK$4&amp;"!$A$3"),IF(I574&lt;&gt;"",I574&amp;A574,""),"")</f>
        <v/>
      </c>
    </row>
    <row r="575" spans="1:44" ht="20.100000000000001" customHeight="1">
      <c r="A575" s="11">
        <f t="shared" si="96"/>
        <v>45797</v>
      </c>
      <c r="C575" s="39"/>
      <c r="Z575" s="154" t="str">
        <f t="shared" si="97"/>
        <v/>
      </c>
      <c r="AE575" s="172">
        <f t="shared" si="95"/>
        <v>3.472222222222222E-3</v>
      </c>
      <c r="AG575" s="154" t="str">
        <f t="shared" si="98"/>
        <v/>
      </c>
      <c r="AK575" t="e">
        <f t="shared" ca="1" si="99"/>
        <v>#N/A</v>
      </c>
      <c r="AL575" t="str">
        <f t="shared" ca="1" si="100"/>
        <v/>
      </c>
      <c r="AM575" t="str">
        <f t="shared" si="101"/>
        <v/>
      </c>
      <c r="AN575" s="172">
        <f t="shared" si="102"/>
        <v>0</v>
      </c>
      <c r="AO575">
        <f t="shared" si="103"/>
        <v>0</v>
      </c>
      <c r="AP575" t="str">
        <f t="shared" ca="1" si="104"/>
        <v/>
      </c>
      <c r="AQ575" t="str">
        <f t="shared" ca="1" si="105"/>
        <v/>
      </c>
      <c r="AR575" s="33" t="str" cm="1">
        <f t="array" aca="1" ref="AR575" ca="1">IF(A575=INDIRECT($AK$4&amp;"!$A$3"),IF(I575&lt;&gt;"",I575&amp;A575,""),"")</f>
        <v/>
      </c>
    </row>
    <row r="576" spans="1:44" ht="20.100000000000001" customHeight="1">
      <c r="A576" s="11">
        <f t="shared" si="96"/>
        <v>45797</v>
      </c>
      <c r="C576" s="39"/>
      <c r="Z576" s="154" t="str">
        <f t="shared" si="97"/>
        <v/>
      </c>
      <c r="AE576" s="172">
        <f t="shared" si="95"/>
        <v>3.472222222222222E-3</v>
      </c>
      <c r="AG576" s="154" t="str">
        <f t="shared" si="98"/>
        <v/>
      </c>
      <c r="AK576" t="e">
        <f t="shared" ca="1" si="99"/>
        <v>#N/A</v>
      </c>
      <c r="AL576" t="str">
        <f t="shared" ca="1" si="100"/>
        <v/>
      </c>
      <c r="AM576" t="str">
        <f t="shared" si="101"/>
        <v/>
      </c>
      <c r="AN576" s="172">
        <f t="shared" si="102"/>
        <v>0</v>
      </c>
      <c r="AO576">
        <f t="shared" si="103"/>
        <v>0</v>
      </c>
      <c r="AP576" t="str">
        <f t="shared" ca="1" si="104"/>
        <v/>
      </c>
      <c r="AQ576" t="str">
        <f t="shared" ca="1" si="105"/>
        <v/>
      </c>
      <c r="AR576" s="33" t="str" cm="1">
        <f t="array" aca="1" ref="AR576" ca="1">IF(A576=INDIRECT($AK$4&amp;"!$A$3"),IF(I576&lt;&gt;"",I576&amp;A576,""),"")</f>
        <v/>
      </c>
    </row>
    <row r="577" spans="1:44" ht="20.100000000000001" customHeight="1">
      <c r="A577" s="11">
        <f t="shared" si="96"/>
        <v>45797</v>
      </c>
      <c r="C577" s="39"/>
      <c r="Z577" s="154" t="str">
        <f t="shared" si="97"/>
        <v/>
      </c>
      <c r="AE577" s="172">
        <f t="shared" si="95"/>
        <v>3.472222222222222E-3</v>
      </c>
      <c r="AG577" s="154" t="str">
        <f t="shared" si="98"/>
        <v/>
      </c>
      <c r="AK577" t="e">
        <f t="shared" ca="1" si="99"/>
        <v>#N/A</v>
      </c>
      <c r="AL577" t="str">
        <f t="shared" ca="1" si="100"/>
        <v/>
      </c>
      <c r="AM577" t="str">
        <f t="shared" si="101"/>
        <v/>
      </c>
      <c r="AN577" s="172">
        <f t="shared" si="102"/>
        <v>0</v>
      </c>
      <c r="AO577">
        <f t="shared" si="103"/>
        <v>0</v>
      </c>
      <c r="AP577" t="str">
        <f t="shared" ca="1" si="104"/>
        <v/>
      </c>
      <c r="AQ577" t="str">
        <f t="shared" ca="1" si="105"/>
        <v/>
      </c>
      <c r="AR577" s="33" t="str" cm="1">
        <f t="array" aca="1" ref="AR577" ca="1">IF(A577=INDIRECT($AK$4&amp;"!$A$3"),IF(I577&lt;&gt;"",I577&amp;A577,""),"")</f>
        <v/>
      </c>
    </row>
    <row r="578" spans="1:44" ht="20.100000000000001" customHeight="1">
      <c r="A578" s="11">
        <f t="shared" si="96"/>
        <v>45797</v>
      </c>
      <c r="C578" s="39"/>
      <c r="Z578" s="154" t="str">
        <f t="shared" si="97"/>
        <v/>
      </c>
      <c r="AE578" s="172">
        <f t="shared" si="95"/>
        <v>3.472222222222222E-3</v>
      </c>
      <c r="AG578" s="154" t="str">
        <f t="shared" si="98"/>
        <v/>
      </c>
      <c r="AK578" t="e">
        <f t="shared" ca="1" si="99"/>
        <v>#N/A</v>
      </c>
      <c r="AL578" t="str">
        <f t="shared" ca="1" si="100"/>
        <v/>
      </c>
      <c r="AM578" t="str">
        <f t="shared" si="101"/>
        <v/>
      </c>
      <c r="AN578" s="172">
        <f t="shared" si="102"/>
        <v>0</v>
      </c>
      <c r="AO578">
        <f t="shared" si="103"/>
        <v>0</v>
      </c>
      <c r="AP578" t="str">
        <f t="shared" ca="1" si="104"/>
        <v/>
      </c>
      <c r="AQ578" t="str">
        <f t="shared" ca="1" si="105"/>
        <v/>
      </c>
      <c r="AR578" s="33" t="str" cm="1">
        <f t="array" aca="1" ref="AR578" ca="1">IF(A578=INDIRECT($AK$4&amp;"!$A$3"),IF(I578&lt;&gt;"",I578&amp;A578,""),"")</f>
        <v/>
      </c>
    </row>
    <row r="579" spans="1:44" ht="20.100000000000001" customHeight="1">
      <c r="A579" s="11">
        <f t="shared" si="96"/>
        <v>45797</v>
      </c>
      <c r="C579" s="39"/>
      <c r="Z579" s="154" t="str">
        <f t="shared" si="97"/>
        <v/>
      </c>
      <c r="AE579" s="172">
        <f t="shared" si="95"/>
        <v>3.472222222222222E-3</v>
      </c>
      <c r="AG579" s="154" t="str">
        <f t="shared" si="98"/>
        <v/>
      </c>
      <c r="AK579" t="e">
        <f t="shared" ca="1" si="99"/>
        <v>#N/A</v>
      </c>
      <c r="AL579" t="str">
        <f t="shared" ca="1" si="100"/>
        <v/>
      </c>
      <c r="AM579" t="str">
        <f t="shared" si="101"/>
        <v/>
      </c>
      <c r="AN579" s="172">
        <f t="shared" si="102"/>
        <v>0</v>
      </c>
      <c r="AO579">
        <f t="shared" si="103"/>
        <v>0</v>
      </c>
      <c r="AP579" t="str">
        <f t="shared" ca="1" si="104"/>
        <v/>
      </c>
      <c r="AQ579" t="str">
        <f t="shared" ca="1" si="105"/>
        <v/>
      </c>
      <c r="AR579" s="33" t="str" cm="1">
        <f t="array" aca="1" ref="AR579" ca="1">IF(A579=INDIRECT($AK$4&amp;"!$A$3"),IF(I579&lt;&gt;"",I579&amp;A579,""),"")</f>
        <v/>
      </c>
    </row>
    <row r="580" spans="1:44" ht="20.100000000000001" customHeight="1">
      <c r="A580" s="11">
        <f t="shared" si="96"/>
        <v>45797</v>
      </c>
      <c r="C580" s="39"/>
      <c r="Z580" s="154" t="str">
        <f t="shared" si="97"/>
        <v/>
      </c>
      <c r="AE580" s="172">
        <f t="shared" si="95"/>
        <v>3.472222222222222E-3</v>
      </c>
      <c r="AG580" s="154" t="str">
        <f t="shared" si="98"/>
        <v/>
      </c>
      <c r="AK580" t="e">
        <f t="shared" ca="1" si="99"/>
        <v>#N/A</v>
      </c>
      <c r="AL580" t="str">
        <f t="shared" ca="1" si="100"/>
        <v/>
      </c>
      <c r="AM580" t="str">
        <f t="shared" si="101"/>
        <v/>
      </c>
      <c r="AN580" s="172">
        <f t="shared" si="102"/>
        <v>0</v>
      </c>
      <c r="AO580">
        <f t="shared" si="103"/>
        <v>0</v>
      </c>
      <c r="AP580" t="str">
        <f t="shared" ca="1" si="104"/>
        <v/>
      </c>
      <c r="AQ580" t="str">
        <f t="shared" ca="1" si="105"/>
        <v/>
      </c>
      <c r="AR580" s="33" t="str" cm="1">
        <f t="array" aca="1" ref="AR580" ca="1">IF(A580=INDIRECT($AK$4&amp;"!$A$3"),IF(I580&lt;&gt;"",I580&amp;A580,""),"")</f>
        <v/>
      </c>
    </row>
    <row r="581" spans="1:44" ht="20.100000000000001" customHeight="1">
      <c r="A581" s="11">
        <f t="shared" si="96"/>
        <v>45797</v>
      </c>
      <c r="C581" s="39"/>
      <c r="Z581" s="154" t="str">
        <f t="shared" si="97"/>
        <v/>
      </c>
      <c r="AE581" s="172">
        <f t="shared" ref="AE581:AE644" si="106">TIME(0,$K581+5,0)</f>
        <v>3.472222222222222E-3</v>
      </c>
      <c r="AG581" s="154" t="str">
        <f t="shared" si="98"/>
        <v/>
      </c>
      <c r="AK581" t="e">
        <f t="shared" ca="1" si="99"/>
        <v>#N/A</v>
      </c>
      <c r="AL581" t="str">
        <f t="shared" ca="1" si="100"/>
        <v/>
      </c>
      <c r="AM581" t="str">
        <f t="shared" si="101"/>
        <v/>
      </c>
      <c r="AN581" s="172">
        <f t="shared" si="102"/>
        <v>0</v>
      </c>
      <c r="AO581">
        <f t="shared" si="103"/>
        <v>0</v>
      </c>
      <c r="AP581" t="str">
        <f t="shared" ca="1" si="104"/>
        <v/>
      </c>
      <c r="AQ581" t="str">
        <f t="shared" ca="1" si="105"/>
        <v/>
      </c>
      <c r="AR581" s="33" t="str" cm="1">
        <f t="array" aca="1" ref="AR581" ca="1">IF(A581=INDIRECT($AK$4&amp;"!$A$3"),IF(I581&lt;&gt;"",I581&amp;A581,""),"")</f>
        <v/>
      </c>
    </row>
    <row r="582" spans="1:44" ht="20.100000000000001" customHeight="1">
      <c r="A582" s="11">
        <f t="shared" ref="A582:A645" si="107">A581</f>
        <v>45797</v>
      </c>
      <c r="C582" s="39"/>
      <c r="Z582" s="154" t="str">
        <f t="shared" ref="Z582:Z645" si="108">IF(Y582="","",$Y582+TIME(0,5,0))</f>
        <v/>
      </c>
      <c r="AE582" s="172">
        <f t="shared" si="106"/>
        <v>3.472222222222222E-3</v>
      </c>
      <c r="AG582" s="154" t="str">
        <f t="shared" ref="AG582:AG645" si="109">IF(AF582="","",IF(D582="トラブル報告",AF582+TIME(0,45,0),SUM(AE582,AF582)))</f>
        <v/>
      </c>
      <c r="AK582" t="e">
        <f t="shared" ca="1" si="99"/>
        <v>#N/A</v>
      </c>
      <c r="AL582" t="str">
        <f t="shared" ca="1" si="100"/>
        <v/>
      </c>
      <c r="AM582" t="str">
        <f t="shared" si="101"/>
        <v/>
      </c>
      <c r="AN582" s="172">
        <f t="shared" si="102"/>
        <v>0</v>
      </c>
      <c r="AO582">
        <f t="shared" si="103"/>
        <v>0</v>
      </c>
      <c r="AP582" t="str">
        <f t="shared" ca="1" si="104"/>
        <v/>
      </c>
      <c r="AQ582" t="str">
        <f t="shared" ca="1" si="105"/>
        <v/>
      </c>
      <c r="AR582" s="33" t="str" cm="1">
        <f t="array" aca="1" ref="AR582" ca="1">IF(A582=INDIRECT($AK$4&amp;"!$A$3"),IF(I582&lt;&gt;"",I582&amp;A582,""),"")</f>
        <v/>
      </c>
    </row>
    <row r="583" spans="1:44" ht="20.100000000000001" customHeight="1">
      <c r="A583" s="11">
        <f t="shared" si="107"/>
        <v>45797</v>
      </c>
      <c r="C583" s="39"/>
      <c r="Z583" s="154" t="str">
        <f t="shared" si="108"/>
        <v/>
      </c>
      <c r="AE583" s="172">
        <f t="shared" si="106"/>
        <v>3.472222222222222E-3</v>
      </c>
      <c r="AG583" s="154" t="str">
        <f t="shared" si="109"/>
        <v/>
      </c>
      <c r="AK583" t="e">
        <f t="shared" ca="1" si="99"/>
        <v>#N/A</v>
      </c>
      <c r="AL583" t="str">
        <f t="shared" ca="1" si="100"/>
        <v/>
      </c>
      <c r="AM583" t="str">
        <f t="shared" si="101"/>
        <v/>
      </c>
      <c r="AN583" s="172">
        <f t="shared" si="102"/>
        <v>0</v>
      </c>
      <c r="AO583">
        <f t="shared" si="103"/>
        <v>0</v>
      </c>
      <c r="AP583" t="str">
        <f t="shared" ca="1" si="104"/>
        <v/>
      </c>
      <c r="AQ583" t="str">
        <f t="shared" ca="1" si="105"/>
        <v/>
      </c>
      <c r="AR583" s="33" t="str" cm="1">
        <f t="array" aca="1" ref="AR583" ca="1">IF(A583=INDIRECT($AK$4&amp;"!$A$3"),IF(I583&lt;&gt;"",I583&amp;A583,""),"")</f>
        <v/>
      </c>
    </row>
    <row r="584" spans="1:44" ht="20.100000000000001" customHeight="1">
      <c r="A584" s="11">
        <f t="shared" si="107"/>
        <v>45797</v>
      </c>
      <c r="C584" s="39"/>
      <c r="Z584" s="154" t="str">
        <f t="shared" si="108"/>
        <v/>
      </c>
      <c r="AE584" s="172">
        <f t="shared" si="106"/>
        <v>3.472222222222222E-3</v>
      </c>
      <c r="AG584" s="154" t="str">
        <f t="shared" si="109"/>
        <v/>
      </c>
      <c r="AK584" t="e">
        <f t="shared" ca="1" si="99"/>
        <v>#N/A</v>
      </c>
      <c r="AL584" t="str">
        <f t="shared" ca="1" si="100"/>
        <v/>
      </c>
      <c r="AM584" t="str">
        <f t="shared" si="101"/>
        <v/>
      </c>
      <c r="AN584" s="172">
        <f t="shared" si="102"/>
        <v>0</v>
      </c>
      <c r="AO584">
        <f t="shared" si="103"/>
        <v>0</v>
      </c>
      <c r="AP584" t="str">
        <f t="shared" ca="1" si="104"/>
        <v/>
      </c>
      <c r="AQ584" t="str">
        <f t="shared" ca="1" si="105"/>
        <v/>
      </c>
      <c r="AR584" s="33" t="str" cm="1">
        <f t="array" aca="1" ref="AR584" ca="1">IF(A584=INDIRECT($AK$4&amp;"!$A$3"),IF(I584&lt;&gt;"",I584&amp;A584,""),"")</f>
        <v/>
      </c>
    </row>
    <row r="585" spans="1:44" ht="20.100000000000001" customHeight="1">
      <c r="A585" s="11">
        <f t="shared" si="107"/>
        <v>45797</v>
      </c>
      <c r="C585" s="39"/>
      <c r="Z585" s="154" t="str">
        <f t="shared" si="108"/>
        <v/>
      </c>
      <c r="AE585" s="172">
        <f t="shared" si="106"/>
        <v>3.472222222222222E-3</v>
      </c>
      <c r="AG585" s="154" t="str">
        <f t="shared" si="109"/>
        <v/>
      </c>
      <c r="AK585" t="e">
        <f t="shared" ca="1" si="99"/>
        <v>#N/A</v>
      </c>
      <c r="AL585" t="str">
        <f t="shared" ca="1" si="100"/>
        <v/>
      </c>
      <c r="AM585" t="str">
        <f t="shared" si="101"/>
        <v/>
      </c>
      <c r="AN585" s="172">
        <f t="shared" si="102"/>
        <v>0</v>
      </c>
      <c r="AO585">
        <f t="shared" si="103"/>
        <v>0</v>
      </c>
      <c r="AP585" t="str">
        <f t="shared" ca="1" si="104"/>
        <v/>
      </c>
      <c r="AQ585" t="str">
        <f t="shared" ca="1" si="105"/>
        <v/>
      </c>
      <c r="AR585" s="33" t="str" cm="1">
        <f t="array" aca="1" ref="AR585" ca="1">IF(A585=INDIRECT($AK$4&amp;"!$A$3"),IF(I585&lt;&gt;"",I585&amp;A585,""),"")</f>
        <v/>
      </c>
    </row>
    <row r="586" spans="1:44" ht="20.100000000000001" customHeight="1">
      <c r="A586" s="11">
        <f t="shared" si="107"/>
        <v>45797</v>
      </c>
      <c r="C586" s="39"/>
      <c r="Z586" s="154" t="str">
        <f t="shared" si="108"/>
        <v/>
      </c>
      <c r="AE586" s="172">
        <f t="shared" si="106"/>
        <v>3.472222222222222E-3</v>
      </c>
      <c r="AG586" s="154" t="str">
        <f t="shared" si="109"/>
        <v/>
      </c>
      <c r="AK586" t="e">
        <f t="shared" ca="1" si="99"/>
        <v>#N/A</v>
      </c>
      <c r="AL586" t="str">
        <f t="shared" ca="1" si="100"/>
        <v/>
      </c>
      <c r="AM586" t="str">
        <f t="shared" si="101"/>
        <v/>
      </c>
      <c r="AN586" s="172">
        <f t="shared" si="102"/>
        <v>0</v>
      </c>
      <c r="AO586">
        <f t="shared" si="103"/>
        <v>0</v>
      </c>
      <c r="AP586" t="str">
        <f t="shared" ca="1" si="104"/>
        <v/>
      </c>
      <c r="AQ586" t="str">
        <f t="shared" ca="1" si="105"/>
        <v/>
      </c>
      <c r="AR586" s="33" t="str" cm="1">
        <f t="array" aca="1" ref="AR586" ca="1">IF(A586=INDIRECT($AK$4&amp;"!$A$3"),IF(I586&lt;&gt;"",I586&amp;A586,""),"")</f>
        <v/>
      </c>
    </row>
    <row r="587" spans="1:44" ht="20.100000000000001" customHeight="1">
      <c r="A587" s="11">
        <f t="shared" si="107"/>
        <v>45797</v>
      </c>
      <c r="C587" s="39"/>
      <c r="Z587" s="154" t="str">
        <f t="shared" si="108"/>
        <v/>
      </c>
      <c r="AE587" s="172">
        <f t="shared" si="106"/>
        <v>3.472222222222222E-3</v>
      </c>
      <c r="AG587" s="154" t="str">
        <f t="shared" si="109"/>
        <v/>
      </c>
      <c r="AK587" t="e">
        <f t="shared" ca="1" si="99"/>
        <v>#N/A</v>
      </c>
      <c r="AL587" t="str">
        <f t="shared" ca="1" si="100"/>
        <v/>
      </c>
      <c r="AM587" t="str">
        <f t="shared" si="101"/>
        <v/>
      </c>
      <c r="AN587" s="172">
        <f t="shared" si="102"/>
        <v>0</v>
      </c>
      <c r="AO587">
        <f t="shared" si="103"/>
        <v>0</v>
      </c>
      <c r="AP587" t="str">
        <f t="shared" ca="1" si="104"/>
        <v/>
      </c>
      <c r="AQ587" t="str">
        <f t="shared" ca="1" si="105"/>
        <v/>
      </c>
      <c r="AR587" s="33" t="str" cm="1">
        <f t="array" aca="1" ref="AR587" ca="1">IF(A587=INDIRECT($AK$4&amp;"!$A$3"),IF(I587&lt;&gt;"",I587&amp;A587,""),"")</f>
        <v/>
      </c>
    </row>
    <row r="588" spans="1:44" ht="20.100000000000001" customHeight="1">
      <c r="A588" s="11">
        <f t="shared" si="107"/>
        <v>45797</v>
      </c>
      <c r="C588" s="39"/>
      <c r="Z588" s="154" t="str">
        <f t="shared" si="108"/>
        <v/>
      </c>
      <c r="AE588" s="172">
        <f t="shared" si="106"/>
        <v>3.472222222222222E-3</v>
      </c>
      <c r="AG588" s="154" t="str">
        <f t="shared" si="109"/>
        <v/>
      </c>
      <c r="AK588" t="e">
        <f t="shared" ca="1" si="99"/>
        <v>#N/A</v>
      </c>
      <c r="AL588" t="str">
        <f t="shared" ca="1" si="100"/>
        <v/>
      </c>
      <c r="AM588" t="str">
        <f t="shared" si="101"/>
        <v/>
      </c>
      <c r="AN588" s="172">
        <f t="shared" si="102"/>
        <v>0</v>
      </c>
      <c r="AO588">
        <f t="shared" si="103"/>
        <v>0</v>
      </c>
      <c r="AP588" t="str">
        <f t="shared" ca="1" si="104"/>
        <v/>
      </c>
      <c r="AQ588" t="str">
        <f t="shared" ca="1" si="105"/>
        <v/>
      </c>
      <c r="AR588" s="33" t="str" cm="1">
        <f t="array" aca="1" ref="AR588" ca="1">IF(A588=INDIRECT($AK$4&amp;"!$A$3"),IF(I588&lt;&gt;"",I588&amp;A588,""),"")</f>
        <v/>
      </c>
    </row>
    <row r="589" spans="1:44" ht="20.100000000000001" customHeight="1">
      <c r="A589" s="11">
        <f t="shared" si="107"/>
        <v>45797</v>
      </c>
      <c r="C589" s="39"/>
      <c r="Z589" s="154" t="str">
        <f t="shared" si="108"/>
        <v/>
      </c>
      <c r="AE589" s="172">
        <f t="shared" si="106"/>
        <v>3.472222222222222E-3</v>
      </c>
      <c r="AG589" s="154" t="str">
        <f t="shared" si="109"/>
        <v/>
      </c>
      <c r="AK589" t="e">
        <f t="shared" ca="1" si="99"/>
        <v>#N/A</v>
      </c>
      <c r="AL589" t="str">
        <f t="shared" ca="1" si="100"/>
        <v/>
      </c>
      <c r="AM589" t="str">
        <f t="shared" si="101"/>
        <v/>
      </c>
      <c r="AN589" s="172">
        <f t="shared" si="102"/>
        <v>0</v>
      </c>
      <c r="AO589">
        <f t="shared" si="103"/>
        <v>0</v>
      </c>
      <c r="AP589" t="str">
        <f t="shared" ca="1" si="104"/>
        <v/>
      </c>
      <c r="AQ589" t="str">
        <f t="shared" ca="1" si="105"/>
        <v/>
      </c>
      <c r="AR589" s="33" t="str" cm="1">
        <f t="array" aca="1" ref="AR589" ca="1">IF(A589=INDIRECT($AK$4&amp;"!$A$3"),IF(I589&lt;&gt;"",I589&amp;A589,""),"")</f>
        <v/>
      </c>
    </row>
    <row r="590" spans="1:44" ht="20.100000000000001" customHeight="1">
      <c r="A590" s="11">
        <f t="shared" si="107"/>
        <v>45797</v>
      </c>
      <c r="C590" s="39"/>
      <c r="Z590" s="154" t="str">
        <f t="shared" si="108"/>
        <v/>
      </c>
      <c r="AE590" s="172">
        <f t="shared" si="106"/>
        <v>3.472222222222222E-3</v>
      </c>
      <c r="AG590" s="154" t="str">
        <f t="shared" si="109"/>
        <v/>
      </c>
      <c r="AK590" t="e">
        <f t="shared" ca="1" si="99"/>
        <v>#N/A</v>
      </c>
      <c r="AL590" t="str">
        <f t="shared" ca="1" si="100"/>
        <v/>
      </c>
      <c r="AM590" t="str">
        <f t="shared" si="101"/>
        <v/>
      </c>
      <c r="AN590" s="172">
        <f t="shared" si="102"/>
        <v>0</v>
      </c>
      <c r="AO590">
        <f t="shared" si="103"/>
        <v>0</v>
      </c>
      <c r="AP590" t="str">
        <f t="shared" ca="1" si="104"/>
        <v/>
      </c>
      <c r="AQ590" t="str">
        <f t="shared" ca="1" si="105"/>
        <v/>
      </c>
      <c r="AR590" s="33" t="str" cm="1">
        <f t="array" aca="1" ref="AR590" ca="1">IF(A590=INDIRECT($AK$4&amp;"!$A$3"),IF(I590&lt;&gt;"",I590&amp;A590,""),"")</f>
        <v/>
      </c>
    </row>
    <row r="591" spans="1:44" ht="20.100000000000001" customHeight="1">
      <c r="A591" s="11">
        <f t="shared" si="107"/>
        <v>45797</v>
      </c>
      <c r="C591" s="39"/>
      <c r="Z591" s="154" t="str">
        <f t="shared" si="108"/>
        <v/>
      </c>
      <c r="AE591" s="172">
        <f t="shared" si="106"/>
        <v>3.472222222222222E-3</v>
      </c>
      <c r="AG591" s="154" t="str">
        <f t="shared" si="109"/>
        <v/>
      </c>
      <c r="AK591" t="e">
        <f t="shared" ca="1" si="99"/>
        <v>#N/A</v>
      </c>
      <c r="AL591" t="str">
        <f t="shared" ca="1" si="100"/>
        <v/>
      </c>
      <c r="AM591" t="str">
        <f t="shared" si="101"/>
        <v/>
      </c>
      <c r="AN591" s="172">
        <f t="shared" si="102"/>
        <v>0</v>
      </c>
      <c r="AO591">
        <f t="shared" si="103"/>
        <v>0</v>
      </c>
      <c r="AP591" t="str">
        <f t="shared" ca="1" si="104"/>
        <v/>
      </c>
      <c r="AQ591" t="str">
        <f t="shared" ca="1" si="105"/>
        <v/>
      </c>
      <c r="AR591" s="33" t="str" cm="1">
        <f t="array" aca="1" ref="AR591" ca="1">IF(A591=INDIRECT($AK$4&amp;"!$A$3"),IF(I591&lt;&gt;"",I591&amp;A591,""),"")</f>
        <v/>
      </c>
    </row>
    <row r="592" spans="1:44" ht="20.100000000000001" customHeight="1">
      <c r="A592" s="11">
        <f t="shared" si="107"/>
        <v>45797</v>
      </c>
      <c r="C592" s="39"/>
      <c r="Z592" s="154" t="str">
        <f t="shared" si="108"/>
        <v/>
      </c>
      <c r="AE592" s="172">
        <f t="shared" si="106"/>
        <v>3.472222222222222E-3</v>
      </c>
      <c r="AG592" s="154" t="str">
        <f t="shared" si="109"/>
        <v/>
      </c>
      <c r="AK592" t="e">
        <f t="shared" ca="1" si="99"/>
        <v>#N/A</v>
      </c>
      <c r="AL592" t="str">
        <f t="shared" ca="1" si="100"/>
        <v/>
      </c>
      <c r="AM592" t="str">
        <f t="shared" si="101"/>
        <v/>
      </c>
      <c r="AN592" s="172">
        <f t="shared" si="102"/>
        <v>0</v>
      </c>
      <c r="AO592">
        <f t="shared" si="103"/>
        <v>0</v>
      </c>
      <c r="AP592" t="str">
        <f t="shared" ca="1" si="104"/>
        <v/>
      </c>
      <c r="AQ592" t="str">
        <f t="shared" ca="1" si="105"/>
        <v/>
      </c>
      <c r="AR592" s="33" t="str" cm="1">
        <f t="array" aca="1" ref="AR592" ca="1">IF(A592=INDIRECT($AK$4&amp;"!$A$3"),IF(I592&lt;&gt;"",I592&amp;A592,""),"")</f>
        <v/>
      </c>
    </row>
    <row r="593" spans="1:44" ht="20.100000000000001" customHeight="1">
      <c r="A593" s="11">
        <f t="shared" si="107"/>
        <v>45797</v>
      </c>
      <c r="C593" s="39"/>
      <c r="Z593" s="154" t="str">
        <f t="shared" si="108"/>
        <v/>
      </c>
      <c r="AE593" s="172">
        <f t="shared" si="106"/>
        <v>3.472222222222222E-3</v>
      </c>
      <c r="AG593" s="154" t="str">
        <f t="shared" si="109"/>
        <v/>
      </c>
      <c r="AK593" t="e">
        <f t="shared" ca="1" si="99"/>
        <v>#N/A</v>
      </c>
      <c r="AL593" t="str">
        <f t="shared" ca="1" si="100"/>
        <v/>
      </c>
      <c r="AM593" t="str">
        <f t="shared" si="101"/>
        <v/>
      </c>
      <c r="AN593" s="172">
        <f t="shared" si="102"/>
        <v>0</v>
      </c>
      <c r="AO593">
        <f t="shared" si="103"/>
        <v>0</v>
      </c>
      <c r="AP593" t="str">
        <f t="shared" ca="1" si="104"/>
        <v/>
      </c>
      <c r="AQ593" t="str">
        <f t="shared" ca="1" si="105"/>
        <v/>
      </c>
      <c r="AR593" s="33" t="str" cm="1">
        <f t="array" aca="1" ref="AR593" ca="1">IF(A593=INDIRECT($AK$4&amp;"!$A$3"),IF(I593&lt;&gt;"",I593&amp;A593,""),"")</f>
        <v/>
      </c>
    </row>
    <row r="594" spans="1:44" ht="20.100000000000001" customHeight="1">
      <c r="A594" s="11">
        <f t="shared" si="107"/>
        <v>45797</v>
      </c>
      <c r="C594" s="39"/>
      <c r="Z594" s="154" t="str">
        <f t="shared" si="108"/>
        <v/>
      </c>
      <c r="AE594" s="172">
        <f t="shared" si="106"/>
        <v>3.472222222222222E-3</v>
      </c>
      <c r="AG594" s="154" t="str">
        <f t="shared" si="109"/>
        <v/>
      </c>
      <c r="AK594" t="e">
        <f t="shared" ca="1" si="99"/>
        <v>#N/A</v>
      </c>
      <c r="AL594" t="str">
        <f t="shared" ca="1" si="100"/>
        <v/>
      </c>
      <c r="AM594" t="str">
        <f t="shared" si="101"/>
        <v/>
      </c>
      <c r="AN594" s="172">
        <f t="shared" si="102"/>
        <v>0</v>
      </c>
      <c r="AO594">
        <f t="shared" si="103"/>
        <v>0</v>
      </c>
      <c r="AP594" t="str">
        <f t="shared" ca="1" si="104"/>
        <v/>
      </c>
      <c r="AQ594" t="str">
        <f t="shared" ca="1" si="105"/>
        <v/>
      </c>
      <c r="AR594" s="33" t="str" cm="1">
        <f t="array" aca="1" ref="AR594" ca="1">IF(A594=INDIRECT($AK$4&amp;"!$A$3"),IF(I594&lt;&gt;"",I594&amp;A594,""),"")</f>
        <v/>
      </c>
    </row>
    <row r="595" spans="1:44" ht="20.100000000000001" customHeight="1">
      <c r="A595" s="11">
        <f t="shared" si="107"/>
        <v>45797</v>
      </c>
      <c r="C595" s="39"/>
      <c r="Z595" s="154" t="str">
        <f t="shared" si="108"/>
        <v/>
      </c>
      <c r="AE595" s="172">
        <f t="shared" si="106"/>
        <v>3.472222222222222E-3</v>
      </c>
      <c r="AG595" s="154" t="str">
        <f t="shared" si="109"/>
        <v/>
      </c>
      <c r="AK595" t="e">
        <f t="shared" ca="1" si="99"/>
        <v>#N/A</v>
      </c>
      <c r="AL595" t="str">
        <f t="shared" ca="1" si="100"/>
        <v/>
      </c>
      <c r="AM595" t="str">
        <f t="shared" si="101"/>
        <v/>
      </c>
      <c r="AN595" s="172">
        <f t="shared" si="102"/>
        <v>0</v>
      </c>
      <c r="AO595">
        <f t="shared" si="103"/>
        <v>0</v>
      </c>
      <c r="AP595" t="str">
        <f t="shared" ca="1" si="104"/>
        <v/>
      </c>
      <c r="AQ595" t="str">
        <f t="shared" ca="1" si="105"/>
        <v/>
      </c>
      <c r="AR595" s="33" t="str" cm="1">
        <f t="array" aca="1" ref="AR595" ca="1">IF(A595=INDIRECT($AK$4&amp;"!$A$3"),IF(I595&lt;&gt;"",I595&amp;A595,""),"")</f>
        <v/>
      </c>
    </row>
    <row r="596" spans="1:44" ht="20.100000000000001" customHeight="1">
      <c r="A596" s="11">
        <f t="shared" si="107"/>
        <v>45797</v>
      </c>
      <c r="C596" s="39"/>
      <c r="Z596" s="154" t="str">
        <f t="shared" si="108"/>
        <v/>
      </c>
      <c r="AE596" s="172">
        <f t="shared" si="106"/>
        <v>3.472222222222222E-3</v>
      </c>
      <c r="AG596" s="154" t="str">
        <f t="shared" si="109"/>
        <v/>
      </c>
      <c r="AK596" t="e">
        <f t="shared" ca="1" si="99"/>
        <v>#N/A</v>
      </c>
      <c r="AL596" t="str">
        <f t="shared" ca="1" si="100"/>
        <v/>
      </c>
      <c r="AM596" t="str">
        <f t="shared" si="101"/>
        <v/>
      </c>
      <c r="AN596" s="172">
        <f t="shared" si="102"/>
        <v>0</v>
      </c>
      <c r="AO596">
        <f t="shared" si="103"/>
        <v>0</v>
      </c>
      <c r="AP596" t="str">
        <f t="shared" ca="1" si="104"/>
        <v/>
      </c>
      <c r="AQ596" t="str">
        <f t="shared" ca="1" si="105"/>
        <v/>
      </c>
      <c r="AR596" s="33" t="str" cm="1">
        <f t="array" aca="1" ref="AR596" ca="1">IF(A596=INDIRECT($AK$4&amp;"!$A$3"),IF(I596&lt;&gt;"",I596&amp;A596,""),"")</f>
        <v/>
      </c>
    </row>
    <row r="597" spans="1:44" ht="20.100000000000001" customHeight="1">
      <c r="A597" s="11">
        <f t="shared" si="107"/>
        <v>45797</v>
      </c>
      <c r="C597" s="39"/>
      <c r="Z597" s="154" t="str">
        <f t="shared" si="108"/>
        <v/>
      </c>
      <c r="AE597" s="172">
        <f t="shared" si="106"/>
        <v>3.472222222222222E-3</v>
      </c>
      <c r="AG597" s="154" t="str">
        <f t="shared" si="109"/>
        <v/>
      </c>
      <c r="AK597" t="e">
        <f t="shared" ca="1" si="99"/>
        <v>#N/A</v>
      </c>
      <c r="AL597" t="str">
        <f t="shared" ca="1" si="100"/>
        <v/>
      </c>
      <c r="AM597" t="str">
        <f t="shared" si="101"/>
        <v/>
      </c>
      <c r="AN597" s="172">
        <f t="shared" si="102"/>
        <v>0</v>
      </c>
      <c r="AO597">
        <f t="shared" si="103"/>
        <v>0</v>
      </c>
      <c r="AP597" t="str">
        <f t="shared" ca="1" si="104"/>
        <v/>
      </c>
      <c r="AQ597" t="str">
        <f t="shared" ca="1" si="105"/>
        <v/>
      </c>
      <c r="AR597" s="33" t="str" cm="1">
        <f t="array" aca="1" ref="AR597" ca="1">IF(A597=INDIRECT($AK$4&amp;"!$A$3"),IF(I597&lt;&gt;"",I597&amp;A597,""),"")</f>
        <v/>
      </c>
    </row>
    <row r="598" spans="1:44" ht="20.100000000000001" customHeight="1">
      <c r="A598" s="11">
        <f t="shared" si="107"/>
        <v>45797</v>
      </c>
      <c r="C598" s="39"/>
      <c r="Z598" s="154" t="str">
        <f t="shared" si="108"/>
        <v/>
      </c>
      <c r="AE598" s="172">
        <f t="shared" si="106"/>
        <v>3.472222222222222E-3</v>
      </c>
      <c r="AG598" s="154" t="str">
        <f t="shared" si="109"/>
        <v/>
      </c>
      <c r="AK598" t="e">
        <f t="shared" ca="1" si="99"/>
        <v>#N/A</v>
      </c>
      <c r="AL598" t="str">
        <f t="shared" ca="1" si="100"/>
        <v/>
      </c>
      <c r="AM598" t="str">
        <f t="shared" si="101"/>
        <v/>
      </c>
      <c r="AN598" s="172">
        <f t="shared" si="102"/>
        <v>0</v>
      </c>
      <c r="AO598">
        <f t="shared" si="103"/>
        <v>0</v>
      </c>
      <c r="AP598" t="str">
        <f t="shared" ca="1" si="104"/>
        <v/>
      </c>
      <c r="AQ598" t="str">
        <f t="shared" ca="1" si="105"/>
        <v/>
      </c>
      <c r="AR598" s="33" t="str" cm="1">
        <f t="array" aca="1" ref="AR598" ca="1">IF(A598=INDIRECT($AK$4&amp;"!$A$3"),IF(I598&lt;&gt;"",I598&amp;A598,""),"")</f>
        <v/>
      </c>
    </row>
    <row r="599" spans="1:44" ht="20.100000000000001" customHeight="1">
      <c r="A599" s="11">
        <f t="shared" si="107"/>
        <v>45797</v>
      </c>
      <c r="C599" s="39"/>
      <c r="Z599" s="154" t="str">
        <f t="shared" si="108"/>
        <v/>
      </c>
      <c r="AE599" s="172">
        <f t="shared" si="106"/>
        <v>3.472222222222222E-3</v>
      </c>
      <c r="AG599" s="154" t="str">
        <f t="shared" si="109"/>
        <v/>
      </c>
      <c r="AK599" t="e">
        <f t="shared" ca="1" si="99"/>
        <v>#N/A</v>
      </c>
      <c r="AL599" t="str">
        <f t="shared" ca="1" si="100"/>
        <v/>
      </c>
      <c r="AM599" t="str">
        <f t="shared" si="101"/>
        <v/>
      </c>
      <c r="AN599" s="172">
        <f t="shared" si="102"/>
        <v>0</v>
      </c>
      <c r="AO599">
        <f t="shared" si="103"/>
        <v>0</v>
      </c>
      <c r="AP599" t="str">
        <f t="shared" ca="1" si="104"/>
        <v/>
      </c>
      <c r="AQ599" t="str">
        <f t="shared" ca="1" si="105"/>
        <v/>
      </c>
      <c r="AR599" s="33" t="str" cm="1">
        <f t="array" aca="1" ref="AR599" ca="1">IF(A599=INDIRECT($AK$4&amp;"!$A$3"),IF(I599&lt;&gt;"",I599&amp;A599,""),"")</f>
        <v/>
      </c>
    </row>
    <row r="600" spans="1:44" ht="20.100000000000001" customHeight="1">
      <c r="A600" s="11">
        <f t="shared" si="107"/>
        <v>45797</v>
      </c>
      <c r="C600" s="39"/>
      <c r="Z600" s="154" t="str">
        <f t="shared" si="108"/>
        <v/>
      </c>
      <c r="AE600" s="172">
        <f t="shared" si="106"/>
        <v>3.472222222222222E-3</v>
      </c>
      <c r="AG600" s="154" t="str">
        <f t="shared" si="109"/>
        <v/>
      </c>
      <c r="AK600" t="e">
        <f t="shared" ca="1" si="99"/>
        <v>#N/A</v>
      </c>
      <c r="AL600" t="str">
        <f t="shared" ca="1" si="100"/>
        <v/>
      </c>
      <c r="AM600" t="str">
        <f t="shared" si="101"/>
        <v/>
      </c>
      <c r="AN600" s="172">
        <f t="shared" si="102"/>
        <v>0</v>
      </c>
      <c r="AO600">
        <f t="shared" si="103"/>
        <v>0</v>
      </c>
      <c r="AP600" t="str">
        <f t="shared" ca="1" si="104"/>
        <v/>
      </c>
      <c r="AQ600" t="str">
        <f t="shared" ca="1" si="105"/>
        <v/>
      </c>
      <c r="AR600" s="33" t="str" cm="1">
        <f t="array" aca="1" ref="AR600" ca="1">IF(A600=INDIRECT($AK$4&amp;"!$A$3"),IF(I600&lt;&gt;"",I600&amp;A600,""),"")</f>
        <v/>
      </c>
    </row>
    <row r="601" spans="1:44" ht="20.100000000000001" customHeight="1">
      <c r="A601" s="11">
        <f t="shared" si="107"/>
        <v>45797</v>
      </c>
      <c r="C601" s="39"/>
      <c r="Z601" s="154" t="str">
        <f t="shared" si="108"/>
        <v/>
      </c>
      <c r="AE601" s="172">
        <f t="shared" si="106"/>
        <v>3.472222222222222E-3</v>
      </c>
      <c r="AG601" s="154" t="str">
        <f t="shared" si="109"/>
        <v/>
      </c>
      <c r="AK601" t="e">
        <f t="shared" ca="1" si="99"/>
        <v>#N/A</v>
      </c>
      <c r="AL601" t="str">
        <f t="shared" ca="1" si="100"/>
        <v/>
      </c>
      <c r="AM601" t="str">
        <f t="shared" si="101"/>
        <v/>
      </c>
      <c r="AN601" s="172">
        <f t="shared" si="102"/>
        <v>0</v>
      </c>
      <c r="AO601">
        <f t="shared" si="103"/>
        <v>0</v>
      </c>
      <c r="AP601" t="str">
        <f t="shared" ca="1" si="104"/>
        <v/>
      </c>
      <c r="AQ601" t="str">
        <f t="shared" ca="1" si="105"/>
        <v/>
      </c>
      <c r="AR601" s="33" t="str" cm="1">
        <f t="array" aca="1" ref="AR601" ca="1">IF(A601=INDIRECT($AK$4&amp;"!$A$3"),IF(I601&lt;&gt;"",I601&amp;A601,""),"")</f>
        <v/>
      </c>
    </row>
    <row r="602" spans="1:44" ht="20.100000000000001" customHeight="1">
      <c r="A602" s="11">
        <f t="shared" si="107"/>
        <v>45797</v>
      </c>
      <c r="C602" s="39"/>
      <c r="Z602" s="154" t="str">
        <f t="shared" si="108"/>
        <v/>
      </c>
      <c r="AE602" s="172">
        <f t="shared" si="106"/>
        <v>3.472222222222222E-3</v>
      </c>
      <c r="AG602" s="154" t="str">
        <f t="shared" si="109"/>
        <v/>
      </c>
      <c r="AK602" t="e">
        <f t="shared" ca="1" si="99"/>
        <v>#N/A</v>
      </c>
      <c r="AL602" t="str">
        <f t="shared" ca="1" si="100"/>
        <v/>
      </c>
      <c r="AM602" t="str">
        <f t="shared" si="101"/>
        <v/>
      </c>
      <c r="AN602" s="172">
        <f t="shared" si="102"/>
        <v>0</v>
      </c>
      <c r="AO602">
        <f t="shared" si="103"/>
        <v>0</v>
      </c>
      <c r="AP602" t="str">
        <f t="shared" ca="1" si="104"/>
        <v/>
      </c>
      <c r="AQ602" t="str">
        <f t="shared" ca="1" si="105"/>
        <v/>
      </c>
    </row>
    <row r="603" spans="1:44" ht="20.100000000000001" customHeight="1">
      <c r="A603" s="11">
        <f t="shared" si="107"/>
        <v>45797</v>
      </c>
      <c r="C603" s="39"/>
      <c r="Z603" s="154" t="str">
        <f t="shared" si="108"/>
        <v/>
      </c>
      <c r="AE603" s="172">
        <f t="shared" si="106"/>
        <v>3.472222222222222E-3</v>
      </c>
      <c r="AG603" s="154" t="str">
        <f t="shared" si="109"/>
        <v/>
      </c>
      <c r="AK603" t="e">
        <f t="shared" ca="1" si="99"/>
        <v>#N/A</v>
      </c>
      <c r="AL603" t="str">
        <f t="shared" ca="1" si="100"/>
        <v/>
      </c>
      <c r="AM603" t="str">
        <f t="shared" si="101"/>
        <v/>
      </c>
      <c r="AN603" s="172">
        <f t="shared" si="102"/>
        <v>0</v>
      </c>
      <c r="AO603">
        <f t="shared" si="103"/>
        <v>0</v>
      </c>
      <c r="AP603" t="str">
        <f t="shared" ca="1" si="104"/>
        <v/>
      </c>
      <c r="AQ603" t="str">
        <f t="shared" ca="1" si="105"/>
        <v/>
      </c>
    </row>
    <row r="604" spans="1:44" ht="20.100000000000001" customHeight="1">
      <c r="A604" s="11">
        <f t="shared" si="107"/>
        <v>45797</v>
      </c>
      <c r="C604" s="39"/>
      <c r="Z604" s="154" t="str">
        <f t="shared" si="108"/>
        <v/>
      </c>
      <c r="AE604" s="172">
        <f t="shared" si="106"/>
        <v>3.472222222222222E-3</v>
      </c>
      <c r="AG604" s="154" t="str">
        <f t="shared" si="109"/>
        <v/>
      </c>
      <c r="AK604" t="e">
        <f t="shared" ca="1" si="99"/>
        <v>#N/A</v>
      </c>
      <c r="AL604" t="str">
        <f t="shared" ca="1" si="100"/>
        <v/>
      </c>
      <c r="AM604" t="str">
        <f t="shared" si="101"/>
        <v/>
      </c>
      <c r="AN604" s="172">
        <f t="shared" si="102"/>
        <v>0</v>
      </c>
      <c r="AO604">
        <f t="shared" si="103"/>
        <v>0</v>
      </c>
      <c r="AP604" t="str">
        <f t="shared" ca="1" si="104"/>
        <v/>
      </c>
      <c r="AQ604" t="str">
        <f t="shared" ca="1" si="105"/>
        <v/>
      </c>
    </row>
    <row r="605" spans="1:44" ht="20.100000000000001" customHeight="1">
      <c r="A605" s="11">
        <f t="shared" si="107"/>
        <v>45797</v>
      </c>
      <c r="C605" s="39"/>
      <c r="Z605" s="154" t="str">
        <f t="shared" si="108"/>
        <v/>
      </c>
      <c r="AE605" s="172">
        <f t="shared" si="106"/>
        <v>3.472222222222222E-3</v>
      </c>
      <c r="AG605" s="154" t="str">
        <f t="shared" si="109"/>
        <v/>
      </c>
      <c r="AK605" t="e">
        <f t="shared" ca="1" si="99"/>
        <v>#N/A</v>
      </c>
      <c r="AL605" t="str">
        <f t="shared" ca="1" si="100"/>
        <v/>
      </c>
      <c r="AM605" t="str">
        <f t="shared" si="101"/>
        <v/>
      </c>
      <c r="AN605" s="172">
        <f t="shared" si="102"/>
        <v>0</v>
      </c>
      <c r="AO605">
        <f t="shared" si="103"/>
        <v>0</v>
      </c>
      <c r="AP605" t="str">
        <f t="shared" ca="1" si="104"/>
        <v/>
      </c>
      <c r="AQ605" t="str">
        <f t="shared" ca="1" si="105"/>
        <v/>
      </c>
    </row>
    <row r="606" spans="1:44" ht="20.100000000000001" customHeight="1">
      <c r="A606" s="11">
        <f t="shared" si="107"/>
        <v>45797</v>
      </c>
      <c r="C606" s="39"/>
      <c r="Z606" s="154" t="str">
        <f t="shared" si="108"/>
        <v/>
      </c>
      <c r="AE606" s="172">
        <f t="shared" si="106"/>
        <v>3.472222222222222E-3</v>
      </c>
      <c r="AG606" s="154" t="str">
        <f t="shared" si="109"/>
        <v/>
      </c>
      <c r="AK606" t="e">
        <f t="shared" ca="1" si="99"/>
        <v>#N/A</v>
      </c>
      <c r="AL606" t="str">
        <f t="shared" ca="1" si="100"/>
        <v/>
      </c>
      <c r="AM606" t="str">
        <f t="shared" si="101"/>
        <v/>
      </c>
      <c r="AN606" s="172">
        <f t="shared" si="102"/>
        <v>0</v>
      </c>
      <c r="AO606">
        <f t="shared" si="103"/>
        <v>0</v>
      </c>
      <c r="AP606" t="str">
        <f t="shared" ca="1" si="104"/>
        <v/>
      </c>
      <c r="AQ606" t="str">
        <f t="shared" ca="1" si="105"/>
        <v/>
      </c>
    </row>
    <row r="607" spans="1:44" ht="20.100000000000001" customHeight="1">
      <c r="A607" s="11">
        <f t="shared" si="107"/>
        <v>45797</v>
      </c>
      <c r="C607" s="39"/>
      <c r="Z607" s="154" t="str">
        <f t="shared" si="108"/>
        <v/>
      </c>
      <c r="AE607" s="172">
        <f t="shared" si="106"/>
        <v>3.472222222222222E-3</v>
      </c>
      <c r="AG607" s="154" t="str">
        <f t="shared" si="109"/>
        <v/>
      </c>
      <c r="AK607" t="e">
        <f t="shared" ca="1" si="99"/>
        <v>#N/A</v>
      </c>
      <c r="AL607" t="str">
        <f t="shared" ca="1" si="100"/>
        <v/>
      </c>
      <c r="AM607" t="str">
        <f t="shared" si="101"/>
        <v/>
      </c>
      <c r="AN607" s="172">
        <f t="shared" si="102"/>
        <v>0</v>
      </c>
      <c r="AO607">
        <f t="shared" si="103"/>
        <v>0</v>
      </c>
      <c r="AP607" t="str">
        <f t="shared" ca="1" si="104"/>
        <v/>
      </c>
      <c r="AQ607" t="str">
        <f t="shared" ca="1" si="105"/>
        <v/>
      </c>
    </row>
    <row r="608" spans="1:44" ht="20.100000000000001" customHeight="1">
      <c r="A608" s="11">
        <f t="shared" si="107"/>
        <v>45797</v>
      </c>
      <c r="C608" s="39"/>
      <c r="Z608" s="154" t="str">
        <f t="shared" si="108"/>
        <v/>
      </c>
      <c r="AE608" s="172">
        <f t="shared" si="106"/>
        <v>3.472222222222222E-3</v>
      </c>
      <c r="AG608" s="154" t="str">
        <f t="shared" si="109"/>
        <v/>
      </c>
      <c r="AK608" t="e">
        <f t="shared" ca="1" si="99"/>
        <v>#N/A</v>
      </c>
      <c r="AL608" t="str">
        <f t="shared" ca="1" si="100"/>
        <v/>
      </c>
      <c r="AM608" t="str">
        <f t="shared" si="101"/>
        <v/>
      </c>
      <c r="AN608" s="172">
        <f t="shared" si="102"/>
        <v>0</v>
      </c>
      <c r="AO608">
        <f t="shared" si="103"/>
        <v>0</v>
      </c>
      <c r="AP608" t="str">
        <f t="shared" ca="1" si="104"/>
        <v/>
      </c>
      <c r="AQ608" t="str">
        <f t="shared" ca="1" si="105"/>
        <v/>
      </c>
    </row>
    <row r="609" spans="1:43" ht="20.100000000000001" customHeight="1">
      <c r="A609" s="11">
        <f t="shared" si="107"/>
        <v>45797</v>
      </c>
      <c r="C609" s="39"/>
      <c r="Z609" s="154" t="str">
        <f t="shared" si="108"/>
        <v/>
      </c>
      <c r="AE609" s="172">
        <f t="shared" si="106"/>
        <v>3.472222222222222E-3</v>
      </c>
      <c r="AG609" s="154" t="str">
        <f t="shared" si="109"/>
        <v/>
      </c>
      <c r="AK609" t="e">
        <f t="shared" ca="1" si="99"/>
        <v>#N/A</v>
      </c>
      <c r="AL609" t="str">
        <f t="shared" ca="1" si="100"/>
        <v/>
      </c>
      <c r="AM609" t="str">
        <f t="shared" si="101"/>
        <v/>
      </c>
      <c r="AN609" s="172">
        <f t="shared" si="102"/>
        <v>0</v>
      </c>
      <c r="AO609">
        <f t="shared" si="103"/>
        <v>0</v>
      </c>
      <c r="AP609" t="str">
        <f t="shared" ca="1" si="104"/>
        <v/>
      </c>
      <c r="AQ609" t="str">
        <f t="shared" ca="1" si="105"/>
        <v/>
      </c>
    </row>
    <row r="610" spans="1:43" ht="20.100000000000001" customHeight="1">
      <c r="A610" s="11">
        <f t="shared" si="107"/>
        <v>45797</v>
      </c>
      <c r="C610" s="39"/>
      <c r="Z610" s="154" t="str">
        <f t="shared" si="108"/>
        <v/>
      </c>
      <c r="AE610" s="172">
        <f t="shared" si="106"/>
        <v>3.472222222222222E-3</v>
      </c>
      <c r="AG610" s="154" t="str">
        <f t="shared" si="109"/>
        <v/>
      </c>
      <c r="AK610" t="e">
        <f t="shared" ca="1" si="99"/>
        <v>#N/A</v>
      </c>
      <c r="AL610" t="str">
        <f t="shared" ca="1" si="100"/>
        <v/>
      </c>
      <c r="AM610" t="str">
        <f t="shared" si="101"/>
        <v/>
      </c>
      <c r="AN610" s="172">
        <f t="shared" si="102"/>
        <v>0</v>
      </c>
      <c r="AO610">
        <f t="shared" si="103"/>
        <v>0</v>
      </c>
      <c r="AP610" t="str">
        <f t="shared" ca="1" si="104"/>
        <v/>
      </c>
      <c r="AQ610" t="str">
        <f t="shared" ca="1" si="105"/>
        <v/>
      </c>
    </row>
    <row r="611" spans="1:43" ht="20.100000000000001" customHeight="1">
      <c r="A611" s="11">
        <f t="shared" si="107"/>
        <v>45797</v>
      </c>
      <c r="C611" s="39"/>
      <c r="Z611" s="154" t="str">
        <f t="shared" si="108"/>
        <v/>
      </c>
      <c r="AE611" s="172">
        <f t="shared" si="106"/>
        <v>3.472222222222222E-3</v>
      </c>
      <c r="AG611" s="154" t="str">
        <f t="shared" si="109"/>
        <v/>
      </c>
      <c r="AK611" t="e">
        <f t="shared" ca="1" si="99"/>
        <v>#N/A</v>
      </c>
      <c r="AL611" t="str">
        <f t="shared" ca="1" si="100"/>
        <v/>
      </c>
      <c r="AM611" t="str">
        <f t="shared" si="101"/>
        <v/>
      </c>
      <c r="AN611" s="172">
        <f t="shared" si="102"/>
        <v>0</v>
      </c>
      <c r="AO611">
        <f t="shared" si="103"/>
        <v>0</v>
      </c>
      <c r="AP611" t="str">
        <f t="shared" ca="1" si="104"/>
        <v/>
      </c>
      <c r="AQ611" t="str">
        <f t="shared" ca="1" si="105"/>
        <v/>
      </c>
    </row>
    <row r="612" spans="1:43" ht="20.100000000000001" customHeight="1">
      <c r="A612" s="11">
        <f t="shared" si="107"/>
        <v>45797</v>
      </c>
      <c r="C612" s="39"/>
      <c r="Z612" s="154" t="str">
        <f t="shared" si="108"/>
        <v/>
      </c>
      <c r="AE612" s="172">
        <f t="shared" si="106"/>
        <v>3.472222222222222E-3</v>
      </c>
      <c r="AG612" s="154" t="str">
        <f t="shared" si="109"/>
        <v/>
      </c>
      <c r="AK612" t="e">
        <f t="shared" ca="1" si="99"/>
        <v>#N/A</v>
      </c>
      <c r="AL612" t="str">
        <f t="shared" ca="1" si="100"/>
        <v/>
      </c>
      <c r="AM612" t="str">
        <f t="shared" si="101"/>
        <v/>
      </c>
      <c r="AN612" s="172">
        <f t="shared" si="102"/>
        <v>0</v>
      </c>
      <c r="AO612">
        <f t="shared" si="103"/>
        <v>0</v>
      </c>
      <c r="AP612" t="str">
        <f t="shared" ca="1" si="104"/>
        <v/>
      </c>
      <c r="AQ612" t="str">
        <f t="shared" ca="1" si="105"/>
        <v/>
      </c>
    </row>
    <row r="613" spans="1:43" ht="20.100000000000001" customHeight="1">
      <c r="A613" s="11">
        <f t="shared" si="107"/>
        <v>45797</v>
      </c>
      <c r="C613" s="39"/>
      <c r="Z613" s="154" t="str">
        <f t="shared" si="108"/>
        <v/>
      </c>
      <c r="AE613" s="172">
        <f t="shared" si="106"/>
        <v>3.472222222222222E-3</v>
      </c>
      <c r="AG613" s="154" t="str">
        <f t="shared" si="109"/>
        <v/>
      </c>
      <c r="AK613" t="e">
        <f t="shared" ca="1" si="99"/>
        <v>#N/A</v>
      </c>
      <c r="AL613" t="str">
        <f t="shared" ca="1" si="100"/>
        <v/>
      </c>
      <c r="AM613" t="str">
        <f t="shared" si="101"/>
        <v/>
      </c>
      <c r="AN613" s="172">
        <f t="shared" si="102"/>
        <v>0</v>
      </c>
      <c r="AO613">
        <f t="shared" si="103"/>
        <v>0</v>
      </c>
      <c r="AP613" t="str">
        <f t="shared" ca="1" si="104"/>
        <v/>
      </c>
      <c r="AQ613" t="str">
        <f t="shared" ca="1" si="105"/>
        <v/>
      </c>
    </row>
    <row r="614" spans="1:43" ht="20.100000000000001" customHeight="1">
      <c r="A614" s="11">
        <f t="shared" si="107"/>
        <v>45797</v>
      </c>
      <c r="C614" s="39"/>
      <c r="Z614" s="154" t="str">
        <f t="shared" si="108"/>
        <v/>
      </c>
      <c r="AE614" s="172">
        <f t="shared" si="106"/>
        <v>3.472222222222222E-3</v>
      </c>
      <c r="AG614" s="154" t="str">
        <f t="shared" si="109"/>
        <v/>
      </c>
      <c r="AK614" t="e">
        <f t="shared" ca="1" si="99"/>
        <v>#N/A</v>
      </c>
      <c r="AL614" t="str">
        <f t="shared" ca="1" si="100"/>
        <v/>
      </c>
      <c r="AM614" t="str">
        <f t="shared" si="101"/>
        <v/>
      </c>
      <c r="AN614" s="172">
        <f t="shared" si="102"/>
        <v>0</v>
      </c>
      <c r="AO614">
        <f t="shared" si="103"/>
        <v>0</v>
      </c>
      <c r="AP614" t="str">
        <f t="shared" ca="1" si="104"/>
        <v/>
      </c>
      <c r="AQ614" t="str">
        <f t="shared" ca="1" si="105"/>
        <v/>
      </c>
    </row>
    <row r="615" spans="1:43" ht="20.100000000000001" customHeight="1">
      <c r="A615" s="11">
        <f t="shared" si="107"/>
        <v>45797</v>
      </c>
      <c r="C615" s="39"/>
      <c r="Z615" s="154" t="str">
        <f t="shared" si="108"/>
        <v/>
      </c>
      <c r="AE615" s="172">
        <f t="shared" si="106"/>
        <v>3.472222222222222E-3</v>
      </c>
      <c r="AG615" s="154" t="str">
        <f t="shared" si="109"/>
        <v/>
      </c>
      <c r="AK615" t="e">
        <f t="shared" ca="1" si="99"/>
        <v>#N/A</v>
      </c>
      <c r="AL615" t="str">
        <f t="shared" ca="1" si="100"/>
        <v/>
      </c>
      <c r="AM615" t="str">
        <f t="shared" si="101"/>
        <v/>
      </c>
      <c r="AN615" s="172">
        <f t="shared" si="102"/>
        <v>0</v>
      </c>
      <c r="AO615">
        <f t="shared" si="103"/>
        <v>0</v>
      </c>
      <c r="AP615" t="str">
        <f t="shared" ca="1" si="104"/>
        <v/>
      </c>
      <c r="AQ615" t="str">
        <f t="shared" ca="1" si="105"/>
        <v/>
      </c>
    </row>
    <row r="616" spans="1:43" ht="20.100000000000001" customHeight="1">
      <c r="A616" s="11">
        <f t="shared" si="107"/>
        <v>45797</v>
      </c>
      <c r="C616" s="39"/>
      <c r="Z616" s="154" t="str">
        <f t="shared" si="108"/>
        <v/>
      </c>
      <c r="AE616" s="172">
        <f t="shared" si="106"/>
        <v>3.472222222222222E-3</v>
      </c>
      <c r="AG616" s="154" t="str">
        <f t="shared" si="109"/>
        <v/>
      </c>
      <c r="AK616" t="e">
        <f t="shared" ca="1" si="99"/>
        <v>#N/A</v>
      </c>
      <c r="AL616" t="str">
        <f t="shared" ca="1" si="100"/>
        <v/>
      </c>
      <c r="AM616" t="str">
        <f t="shared" si="101"/>
        <v/>
      </c>
      <c r="AN616" s="172">
        <f t="shared" si="102"/>
        <v>0</v>
      </c>
      <c r="AO616">
        <f t="shared" si="103"/>
        <v>0</v>
      </c>
      <c r="AP616" t="str">
        <f t="shared" ca="1" si="104"/>
        <v/>
      </c>
      <c r="AQ616" t="str">
        <f t="shared" ca="1" si="105"/>
        <v/>
      </c>
    </row>
    <row r="617" spans="1:43" ht="20.100000000000001" customHeight="1">
      <c r="A617" s="11">
        <f t="shared" si="107"/>
        <v>45797</v>
      </c>
      <c r="C617" s="39"/>
      <c r="Z617" s="154" t="str">
        <f t="shared" si="108"/>
        <v/>
      </c>
      <c r="AE617" s="172">
        <f t="shared" si="106"/>
        <v>3.472222222222222E-3</v>
      </c>
      <c r="AG617" s="154" t="str">
        <f t="shared" si="109"/>
        <v/>
      </c>
      <c r="AK617" t="e">
        <f t="shared" ca="1" si="99"/>
        <v>#N/A</v>
      </c>
      <c r="AL617" t="str">
        <f t="shared" ca="1" si="100"/>
        <v/>
      </c>
      <c r="AM617" t="str">
        <f t="shared" si="101"/>
        <v/>
      </c>
      <c r="AN617" s="172">
        <f t="shared" si="102"/>
        <v>0</v>
      </c>
      <c r="AO617">
        <f t="shared" si="103"/>
        <v>0</v>
      </c>
      <c r="AP617" t="str">
        <f t="shared" ca="1" si="104"/>
        <v/>
      </c>
      <c r="AQ617" t="str">
        <f t="shared" ca="1" si="105"/>
        <v/>
      </c>
    </row>
    <row r="618" spans="1:43" ht="20.100000000000001" customHeight="1">
      <c r="A618" s="11">
        <f t="shared" si="107"/>
        <v>45797</v>
      </c>
      <c r="C618" s="39"/>
      <c r="Z618" s="154" t="str">
        <f t="shared" si="108"/>
        <v/>
      </c>
      <c r="AE618" s="172">
        <f t="shared" si="106"/>
        <v>3.472222222222222E-3</v>
      </c>
      <c r="AG618" s="154" t="str">
        <f t="shared" si="109"/>
        <v/>
      </c>
      <c r="AK618" t="e">
        <f t="shared" ca="1" si="99"/>
        <v>#N/A</v>
      </c>
      <c r="AL618" t="str">
        <f t="shared" ca="1" si="100"/>
        <v/>
      </c>
      <c r="AM618" t="str">
        <f t="shared" si="101"/>
        <v/>
      </c>
      <c r="AN618" s="172">
        <f t="shared" si="102"/>
        <v>0</v>
      </c>
      <c r="AO618">
        <f t="shared" si="103"/>
        <v>0</v>
      </c>
      <c r="AP618" t="str">
        <f t="shared" ca="1" si="104"/>
        <v/>
      </c>
      <c r="AQ618" t="str">
        <f t="shared" ca="1" si="105"/>
        <v/>
      </c>
    </row>
    <row r="619" spans="1:43" ht="20.100000000000001" customHeight="1">
      <c r="A619" s="11">
        <f t="shared" si="107"/>
        <v>45797</v>
      </c>
      <c r="C619" s="39"/>
      <c r="Z619" s="154" t="str">
        <f t="shared" si="108"/>
        <v/>
      </c>
      <c r="AE619" s="172">
        <f t="shared" si="106"/>
        <v>3.472222222222222E-3</v>
      </c>
      <c r="AG619" s="154" t="str">
        <f t="shared" si="109"/>
        <v/>
      </c>
      <c r="AK619" t="e">
        <f t="shared" ca="1" si="99"/>
        <v>#N/A</v>
      </c>
      <c r="AL619" t="str">
        <f t="shared" ca="1" si="100"/>
        <v/>
      </c>
      <c r="AM619" t="str">
        <f t="shared" si="101"/>
        <v/>
      </c>
      <c r="AN619" s="172">
        <f t="shared" si="102"/>
        <v>0</v>
      </c>
      <c r="AO619">
        <f t="shared" si="103"/>
        <v>0</v>
      </c>
      <c r="AP619" t="str">
        <f t="shared" ca="1" si="104"/>
        <v/>
      </c>
      <c r="AQ619" t="str">
        <f t="shared" ca="1" si="105"/>
        <v/>
      </c>
    </row>
    <row r="620" spans="1:43" ht="20.100000000000001" customHeight="1">
      <c r="A620" s="11">
        <f t="shared" si="107"/>
        <v>45797</v>
      </c>
      <c r="C620" s="39"/>
      <c r="Z620" s="154" t="str">
        <f t="shared" si="108"/>
        <v/>
      </c>
      <c r="AE620" s="172">
        <f t="shared" si="106"/>
        <v>3.472222222222222E-3</v>
      </c>
      <c r="AG620" s="154" t="str">
        <f t="shared" si="109"/>
        <v/>
      </c>
      <c r="AK620" t="e">
        <f t="shared" ca="1" si="99"/>
        <v>#N/A</v>
      </c>
      <c r="AL620" t="str">
        <f t="shared" ca="1" si="100"/>
        <v/>
      </c>
      <c r="AM620" t="str">
        <f t="shared" si="101"/>
        <v/>
      </c>
      <c r="AN620" s="172">
        <f t="shared" si="102"/>
        <v>0</v>
      </c>
      <c r="AO620">
        <f t="shared" si="103"/>
        <v>0</v>
      </c>
      <c r="AP620" t="str">
        <f t="shared" ca="1" si="104"/>
        <v/>
      </c>
      <c r="AQ620" t="str">
        <f t="shared" ca="1" si="105"/>
        <v/>
      </c>
    </row>
    <row r="621" spans="1:43" ht="20.100000000000001" customHeight="1">
      <c r="A621" s="11">
        <f t="shared" si="107"/>
        <v>45797</v>
      </c>
      <c r="C621" s="39"/>
      <c r="Z621" s="154" t="str">
        <f t="shared" si="108"/>
        <v/>
      </c>
      <c r="AE621" s="172">
        <f t="shared" si="106"/>
        <v>3.472222222222222E-3</v>
      </c>
      <c r="AG621" s="154" t="str">
        <f t="shared" si="109"/>
        <v/>
      </c>
      <c r="AK621" t="e">
        <f t="shared" ca="1" si="99"/>
        <v>#N/A</v>
      </c>
      <c r="AL621" t="str">
        <f t="shared" ca="1" si="100"/>
        <v/>
      </c>
      <c r="AM621" t="str">
        <f t="shared" si="101"/>
        <v/>
      </c>
      <c r="AN621" s="172">
        <f t="shared" si="102"/>
        <v>0</v>
      </c>
      <c r="AO621">
        <f t="shared" si="103"/>
        <v>0</v>
      </c>
      <c r="AP621" t="str">
        <f t="shared" ca="1" si="104"/>
        <v/>
      </c>
      <c r="AQ621" t="str">
        <f t="shared" ca="1" si="105"/>
        <v/>
      </c>
    </row>
    <row r="622" spans="1:43" ht="20.100000000000001" customHeight="1">
      <c r="A622" s="11">
        <f t="shared" si="107"/>
        <v>45797</v>
      </c>
      <c r="C622" s="39"/>
      <c r="Z622" s="154" t="str">
        <f t="shared" si="108"/>
        <v/>
      </c>
      <c r="AE622" s="172">
        <f t="shared" si="106"/>
        <v>3.472222222222222E-3</v>
      </c>
      <c r="AG622" s="154" t="str">
        <f t="shared" si="109"/>
        <v/>
      </c>
      <c r="AK622" t="e">
        <f t="shared" ca="1" si="99"/>
        <v>#N/A</v>
      </c>
      <c r="AL622" t="str">
        <f t="shared" ca="1" si="100"/>
        <v/>
      </c>
      <c r="AM622" t="str">
        <f t="shared" si="101"/>
        <v/>
      </c>
      <c r="AN622" s="172">
        <f t="shared" si="102"/>
        <v>0</v>
      </c>
      <c r="AO622">
        <f t="shared" si="103"/>
        <v>0</v>
      </c>
      <c r="AP622" t="str">
        <f t="shared" ca="1" si="104"/>
        <v/>
      </c>
      <c r="AQ622" t="str">
        <f t="shared" ca="1" si="105"/>
        <v/>
      </c>
    </row>
    <row r="623" spans="1:43" ht="20.100000000000001" customHeight="1">
      <c r="A623" s="11">
        <f t="shared" si="107"/>
        <v>45797</v>
      </c>
      <c r="C623" s="39"/>
      <c r="Z623" s="154" t="str">
        <f t="shared" si="108"/>
        <v/>
      </c>
      <c r="AE623" s="172">
        <f t="shared" si="106"/>
        <v>3.472222222222222E-3</v>
      </c>
      <c r="AG623" s="154" t="str">
        <f t="shared" si="109"/>
        <v/>
      </c>
      <c r="AK623" t="e">
        <f t="shared" ca="1" si="99"/>
        <v>#N/A</v>
      </c>
      <c r="AL623" t="str">
        <f t="shared" ca="1" si="100"/>
        <v/>
      </c>
      <c r="AM623" t="str">
        <f t="shared" si="101"/>
        <v/>
      </c>
      <c r="AN623" s="172">
        <f t="shared" si="102"/>
        <v>0</v>
      </c>
      <c r="AO623">
        <f t="shared" si="103"/>
        <v>0</v>
      </c>
      <c r="AP623" t="str">
        <f t="shared" ca="1" si="104"/>
        <v/>
      </c>
      <c r="AQ623" t="str">
        <f t="shared" ca="1" si="105"/>
        <v/>
      </c>
    </row>
    <row r="624" spans="1:43" ht="20.100000000000001" customHeight="1">
      <c r="A624" s="11">
        <f t="shared" si="107"/>
        <v>45797</v>
      </c>
      <c r="C624" s="39"/>
      <c r="Z624" s="154" t="str">
        <f t="shared" si="108"/>
        <v/>
      </c>
      <c r="AE624" s="172">
        <f t="shared" si="106"/>
        <v>3.472222222222222E-3</v>
      </c>
      <c r="AG624" s="154" t="str">
        <f t="shared" si="109"/>
        <v/>
      </c>
      <c r="AK624" t="e">
        <f t="shared" ca="1" si="99"/>
        <v>#N/A</v>
      </c>
      <c r="AL624" t="str">
        <f t="shared" ca="1" si="100"/>
        <v/>
      </c>
      <c r="AM624" t="str">
        <f t="shared" si="101"/>
        <v/>
      </c>
      <c r="AN624" s="172">
        <f t="shared" si="102"/>
        <v>0</v>
      </c>
      <c r="AO624">
        <f t="shared" si="103"/>
        <v>0</v>
      </c>
      <c r="AP624" t="str">
        <f t="shared" ca="1" si="104"/>
        <v/>
      </c>
      <c r="AQ624" t="str">
        <f t="shared" ca="1" si="105"/>
        <v/>
      </c>
    </row>
    <row r="625" spans="1:43" ht="20.100000000000001" customHeight="1">
      <c r="A625" s="11">
        <f t="shared" si="107"/>
        <v>45797</v>
      </c>
      <c r="C625" s="39"/>
      <c r="Z625" s="154" t="str">
        <f t="shared" si="108"/>
        <v/>
      </c>
      <c r="AE625" s="172">
        <f t="shared" si="106"/>
        <v>3.472222222222222E-3</v>
      </c>
      <c r="AG625" s="154" t="str">
        <f t="shared" si="109"/>
        <v/>
      </c>
      <c r="AK625" t="e">
        <f t="shared" ca="1" si="99"/>
        <v>#N/A</v>
      </c>
      <c r="AL625" t="str">
        <f t="shared" ca="1" si="100"/>
        <v/>
      </c>
      <c r="AM625" t="str">
        <f t="shared" si="101"/>
        <v/>
      </c>
      <c r="AN625" s="172">
        <f t="shared" si="102"/>
        <v>0</v>
      </c>
      <c r="AO625">
        <f t="shared" si="103"/>
        <v>0</v>
      </c>
      <c r="AP625" t="str">
        <f t="shared" ca="1" si="104"/>
        <v/>
      </c>
      <c r="AQ625" t="str">
        <f t="shared" ca="1" si="105"/>
        <v/>
      </c>
    </row>
    <row r="626" spans="1:43" ht="20.100000000000001" customHeight="1">
      <c r="A626" s="11">
        <f t="shared" si="107"/>
        <v>45797</v>
      </c>
      <c r="C626" s="39"/>
      <c r="Z626" s="154" t="str">
        <f t="shared" si="108"/>
        <v/>
      </c>
      <c r="AE626" s="172">
        <f t="shared" si="106"/>
        <v>3.472222222222222E-3</v>
      </c>
      <c r="AG626" s="154" t="str">
        <f t="shared" si="109"/>
        <v/>
      </c>
      <c r="AK626" t="e">
        <f t="shared" ca="1" si="99"/>
        <v>#N/A</v>
      </c>
      <c r="AL626" t="str">
        <f t="shared" ca="1" si="100"/>
        <v/>
      </c>
      <c r="AM626" t="str">
        <f t="shared" si="101"/>
        <v/>
      </c>
      <c r="AN626" s="172">
        <f t="shared" si="102"/>
        <v>0</v>
      </c>
      <c r="AO626">
        <f t="shared" si="103"/>
        <v>0</v>
      </c>
      <c r="AP626" t="str">
        <f t="shared" ca="1" si="104"/>
        <v/>
      </c>
      <c r="AQ626" t="str">
        <f t="shared" ca="1" si="105"/>
        <v/>
      </c>
    </row>
    <row r="627" spans="1:43" ht="20.100000000000001" customHeight="1">
      <c r="A627" s="11">
        <f t="shared" si="107"/>
        <v>45797</v>
      </c>
      <c r="C627" s="39"/>
      <c r="Z627" s="154" t="str">
        <f t="shared" si="108"/>
        <v/>
      </c>
      <c r="AE627" s="172">
        <f t="shared" si="106"/>
        <v>3.472222222222222E-3</v>
      </c>
      <c r="AG627" s="154" t="str">
        <f t="shared" si="109"/>
        <v/>
      </c>
      <c r="AK627" t="e">
        <f t="shared" ca="1" si="99"/>
        <v>#N/A</v>
      </c>
      <c r="AL627" t="str">
        <f t="shared" ca="1" si="100"/>
        <v/>
      </c>
      <c r="AM627" t="str">
        <f t="shared" si="101"/>
        <v/>
      </c>
      <c r="AN627" s="172">
        <f t="shared" si="102"/>
        <v>0</v>
      </c>
      <c r="AO627">
        <f t="shared" si="103"/>
        <v>0</v>
      </c>
      <c r="AP627" t="str">
        <f t="shared" ca="1" si="104"/>
        <v/>
      </c>
      <c r="AQ627" t="str">
        <f t="shared" ca="1" si="105"/>
        <v/>
      </c>
    </row>
    <row r="628" spans="1:43" ht="20.100000000000001" customHeight="1">
      <c r="A628" s="11">
        <f t="shared" si="107"/>
        <v>45797</v>
      </c>
      <c r="C628" s="39"/>
      <c r="Z628" s="154" t="str">
        <f t="shared" si="108"/>
        <v/>
      </c>
      <c r="AE628" s="172">
        <f t="shared" si="106"/>
        <v>3.472222222222222E-3</v>
      </c>
      <c r="AG628" s="154" t="str">
        <f t="shared" si="109"/>
        <v/>
      </c>
      <c r="AK628" t="e">
        <f t="shared" ca="1" si="99"/>
        <v>#N/A</v>
      </c>
      <c r="AL628" t="str">
        <f t="shared" ca="1" si="100"/>
        <v/>
      </c>
      <c r="AM628" t="str">
        <f t="shared" si="101"/>
        <v/>
      </c>
      <c r="AN628" s="172">
        <f t="shared" si="102"/>
        <v>0</v>
      </c>
      <c r="AO628">
        <f t="shared" si="103"/>
        <v>0</v>
      </c>
      <c r="AP628" t="str">
        <f t="shared" ca="1" si="104"/>
        <v/>
      </c>
      <c r="AQ628" t="str">
        <f t="shared" ca="1" si="105"/>
        <v/>
      </c>
    </row>
    <row r="629" spans="1:43" ht="20.100000000000001" customHeight="1">
      <c r="A629" s="11">
        <f t="shared" si="107"/>
        <v>45797</v>
      </c>
      <c r="C629" s="39"/>
      <c r="Z629" s="154" t="str">
        <f t="shared" si="108"/>
        <v/>
      </c>
      <c r="AE629" s="172">
        <f t="shared" si="106"/>
        <v>3.472222222222222E-3</v>
      </c>
      <c r="AG629" s="154" t="str">
        <f t="shared" si="109"/>
        <v/>
      </c>
      <c r="AK629" t="e">
        <f t="shared" ca="1" si="99"/>
        <v>#N/A</v>
      </c>
      <c r="AL629" t="str">
        <f t="shared" ca="1" si="100"/>
        <v/>
      </c>
      <c r="AM629" t="str">
        <f t="shared" si="101"/>
        <v/>
      </c>
      <c r="AN629" s="172">
        <f t="shared" si="102"/>
        <v>0</v>
      </c>
      <c r="AO629">
        <f t="shared" si="103"/>
        <v>0</v>
      </c>
      <c r="AP629" t="str">
        <f t="shared" ca="1" si="104"/>
        <v/>
      </c>
      <c r="AQ629" t="str">
        <f t="shared" ca="1" si="105"/>
        <v/>
      </c>
    </row>
    <row r="630" spans="1:43" ht="20.100000000000001" customHeight="1">
      <c r="A630" s="11">
        <f t="shared" si="107"/>
        <v>45797</v>
      </c>
      <c r="C630" s="39"/>
      <c r="Z630" s="154" t="str">
        <f t="shared" si="108"/>
        <v/>
      </c>
      <c r="AE630" s="172">
        <f t="shared" si="106"/>
        <v>3.472222222222222E-3</v>
      </c>
      <c r="AG630" s="154" t="str">
        <f t="shared" si="109"/>
        <v/>
      </c>
      <c r="AK630" t="e">
        <f t="shared" ca="1" si="99"/>
        <v>#N/A</v>
      </c>
      <c r="AL630" t="str">
        <f t="shared" ca="1" si="100"/>
        <v/>
      </c>
      <c r="AM630" t="str">
        <f t="shared" si="101"/>
        <v/>
      </c>
      <c r="AN630" s="172">
        <f t="shared" si="102"/>
        <v>0</v>
      </c>
      <c r="AO630">
        <f t="shared" si="103"/>
        <v>0</v>
      </c>
      <c r="AP630" t="str">
        <f t="shared" ca="1" si="104"/>
        <v/>
      </c>
      <c r="AQ630" t="str">
        <f t="shared" ca="1" si="105"/>
        <v/>
      </c>
    </row>
    <row r="631" spans="1:43" ht="20.100000000000001" customHeight="1">
      <c r="A631" s="11">
        <f t="shared" si="107"/>
        <v>45797</v>
      </c>
      <c r="C631" s="39"/>
      <c r="Z631" s="154" t="str">
        <f t="shared" si="108"/>
        <v/>
      </c>
      <c r="AE631" s="172">
        <f t="shared" si="106"/>
        <v>3.472222222222222E-3</v>
      </c>
      <c r="AG631" s="154" t="str">
        <f t="shared" si="109"/>
        <v/>
      </c>
      <c r="AK631" t="e">
        <f t="shared" ref="AK631:AK694" ca="1" si="110">VLOOKUP($B631,INDIRECT($AK$4&amp;"!$Z$3:$AB$17"),3,FALSE)</f>
        <v>#N/A</v>
      </c>
      <c r="AL631" t="str">
        <f t="shared" ref="AL631:AL694" ca="1" si="111">IFERROR(AK631,"")</f>
        <v/>
      </c>
      <c r="AM631" t="str">
        <f t="shared" ref="AM631:AM694" si="112">IF(L631&lt;&gt;"",L631&amp;A631,"")</f>
        <v/>
      </c>
      <c r="AN631" s="172">
        <f t="shared" ref="AN631:AN694" si="113">AF631</f>
        <v>0</v>
      </c>
      <c r="AO631">
        <f t="shared" ref="AO631:AO694" si="114">IF(AND(L631&lt;&gt;"",O631&lt;&gt;"別ルート",O631&lt;&gt;"DS一時停止中",O631&lt;&gt;"RESCUER数時間後",O631&lt;&gt;"DSレスキュー済",O631&lt;&gt;"合流前Rescuee ",O631&lt;&gt;"合流前RESCUER",O631&lt;&gt;"DS完了",O631&lt;&gt;"Cortex Issue",V631&lt;&gt;"一時拒否",V631&lt;&gt;"終日拒否",V631&lt;&gt;"電話不通x2",V631&lt;&gt;"ー",V631&lt;&gt;"外国語",AA631&lt;&gt;"拒否",AA631&lt;&gt;"Rescueトラブル",AA631&lt;&gt;"電話不通x2",AA631&lt;&gt;"ー",AA631&lt;&gt;"外国語",AB631&lt;&gt;"拒否",AB631&lt;&gt;"電話不通x2",AB631&lt;&gt;"Rescueトラブル",AB631&lt;&gt;"外国語",AB631&lt;&gt;"ー"),1,0)</f>
        <v>0</v>
      </c>
      <c r="AP631" t="str">
        <f t="shared" ref="AP631:AP694" ca="1" si="115">IFERROR(IF(A631=TODAY(),VLOOKUP($L631,INDIRECT($AK$4&amp;"!AK:AM"),3,FALSE),""),"")</f>
        <v/>
      </c>
      <c r="AQ631" t="str">
        <f t="shared" ref="AQ631:AQ694" ca="1" si="116">IFERROR(IF(A631=TODAY(),VLOOKUP($I631,INDIRECT($AK$4&amp;"!AK:AM"),3,FALSE),""),"")</f>
        <v/>
      </c>
    </row>
    <row r="632" spans="1:43" ht="20.100000000000001" customHeight="1">
      <c r="A632" s="11">
        <f t="shared" si="107"/>
        <v>45797</v>
      </c>
      <c r="C632" s="39"/>
      <c r="Z632" s="154" t="str">
        <f t="shared" si="108"/>
        <v/>
      </c>
      <c r="AE632" s="172">
        <f t="shared" si="106"/>
        <v>3.472222222222222E-3</v>
      </c>
      <c r="AG632" s="154" t="str">
        <f t="shared" si="109"/>
        <v/>
      </c>
      <c r="AK632" t="e">
        <f t="shared" ca="1" si="110"/>
        <v>#N/A</v>
      </c>
      <c r="AL632" t="str">
        <f t="shared" ca="1" si="111"/>
        <v/>
      </c>
      <c r="AM632" t="str">
        <f t="shared" si="112"/>
        <v/>
      </c>
      <c r="AN632" s="172">
        <f t="shared" si="113"/>
        <v>0</v>
      </c>
      <c r="AO632">
        <f t="shared" si="114"/>
        <v>0</v>
      </c>
      <c r="AP632" t="str">
        <f t="shared" ca="1" si="115"/>
        <v/>
      </c>
      <c r="AQ632" t="str">
        <f t="shared" ca="1" si="116"/>
        <v/>
      </c>
    </row>
    <row r="633" spans="1:43" ht="20.100000000000001" customHeight="1">
      <c r="A633" s="11">
        <f t="shared" si="107"/>
        <v>45797</v>
      </c>
      <c r="C633" s="39"/>
      <c r="Z633" s="154" t="str">
        <f t="shared" si="108"/>
        <v/>
      </c>
      <c r="AE633" s="172">
        <f t="shared" si="106"/>
        <v>3.472222222222222E-3</v>
      </c>
      <c r="AG633" s="154" t="str">
        <f t="shared" si="109"/>
        <v/>
      </c>
      <c r="AK633" t="e">
        <f t="shared" ca="1" si="110"/>
        <v>#N/A</v>
      </c>
      <c r="AL633" t="str">
        <f t="shared" ca="1" si="111"/>
        <v/>
      </c>
      <c r="AM633" t="str">
        <f t="shared" si="112"/>
        <v/>
      </c>
      <c r="AN633" s="172">
        <f t="shared" si="113"/>
        <v>0</v>
      </c>
      <c r="AO633">
        <f t="shared" si="114"/>
        <v>0</v>
      </c>
      <c r="AP633" t="str">
        <f t="shared" ca="1" si="115"/>
        <v/>
      </c>
      <c r="AQ633" t="str">
        <f t="shared" ca="1" si="116"/>
        <v/>
      </c>
    </row>
    <row r="634" spans="1:43" ht="20.100000000000001" customHeight="1">
      <c r="A634" s="11">
        <f t="shared" si="107"/>
        <v>45797</v>
      </c>
      <c r="C634" s="39"/>
      <c r="Z634" s="154" t="str">
        <f t="shared" si="108"/>
        <v/>
      </c>
      <c r="AE634" s="172">
        <f t="shared" si="106"/>
        <v>3.472222222222222E-3</v>
      </c>
      <c r="AG634" s="154" t="str">
        <f t="shared" si="109"/>
        <v/>
      </c>
      <c r="AK634" t="e">
        <f t="shared" ca="1" si="110"/>
        <v>#N/A</v>
      </c>
      <c r="AL634" t="str">
        <f t="shared" ca="1" si="111"/>
        <v/>
      </c>
      <c r="AM634" t="str">
        <f t="shared" si="112"/>
        <v/>
      </c>
      <c r="AN634" s="172">
        <f t="shared" si="113"/>
        <v>0</v>
      </c>
      <c r="AO634">
        <f t="shared" si="114"/>
        <v>0</v>
      </c>
      <c r="AP634" t="str">
        <f t="shared" ca="1" si="115"/>
        <v/>
      </c>
      <c r="AQ634" t="str">
        <f t="shared" ca="1" si="116"/>
        <v/>
      </c>
    </row>
    <row r="635" spans="1:43" ht="20.100000000000001" customHeight="1">
      <c r="A635" s="11">
        <f t="shared" si="107"/>
        <v>45797</v>
      </c>
      <c r="C635" s="39"/>
      <c r="Z635" s="154" t="str">
        <f t="shared" si="108"/>
        <v/>
      </c>
      <c r="AE635" s="172">
        <f t="shared" si="106"/>
        <v>3.472222222222222E-3</v>
      </c>
      <c r="AG635" s="154" t="str">
        <f t="shared" si="109"/>
        <v/>
      </c>
      <c r="AK635" t="e">
        <f t="shared" ca="1" si="110"/>
        <v>#N/A</v>
      </c>
      <c r="AL635" t="str">
        <f t="shared" ca="1" si="111"/>
        <v/>
      </c>
      <c r="AM635" t="str">
        <f t="shared" si="112"/>
        <v/>
      </c>
      <c r="AN635" s="172">
        <f t="shared" si="113"/>
        <v>0</v>
      </c>
      <c r="AO635">
        <f t="shared" si="114"/>
        <v>0</v>
      </c>
      <c r="AP635" t="str">
        <f t="shared" ca="1" si="115"/>
        <v/>
      </c>
      <c r="AQ635" t="str">
        <f t="shared" ca="1" si="116"/>
        <v/>
      </c>
    </row>
    <row r="636" spans="1:43" ht="20.100000000000001" customHeight="1">
      <c r="A636" s="11">
        <f t="shared" si="107"/>
        <v>45797</v>
      </c>
      <c r="C636" s="39"/>
      <c r="Z636" s="154" t="str">
        <f t="shared" si="108"/>
        <v/>
      </c>
      <c r="AE636" s="172">
        <f t="shared" si="106"/>
        <v>3.472222222222222E-3</v>
      </c>
      <c r="AG636" s="154" t="str">
        <f t="shared" si="109"/>
        <v/>
      </c>
      <c r="AK636" t="e">
        <f t="shared" ca="1" si="110"/>
        <v>#N/A</v>
      </c>
      <c r="AL636" t="str">
        <f t="shared" ca="1" si="111"/>
        <v/>
      </c>
      <c r="AM636" t="str">
        <f t="shared" si="112"/>
        <v/>
      </c>
      <c r="AN636" s="172">
        <f t="shared" si="113"/>
        <v>0</v>
      </c>
      <c r="AO636">
        <f t="shared" si="114"/>
        <v>0</v>
      </c>
      <c r="AP636" t="str">
        <f t="shared" ca="1" si="115"/>
        <v/>
      </c>
      <c r="AQ636" t="str">
        <f t="shared" ca="1" si="116"/>
        <v/>
      </c>
    </row>
    <row r="637" spans="1:43" ht="20.100000000000001" customHeight="1">
      <c r="A637" s="11">
        <f t="shared" si="107"/>
        <v>45797</v>
      </c>
      <c r="C637" s="39"/>
      <c r="Z637" s="154" t="str">
        <f t="shared" si="108"/>
        <v/>
      </c>
      <c r="AE637" s="172">
        <f t="shared" si="106"/>
        <v>3.472222222222222E-3</v>
      </c>
      <c r="AG637" s="154" t="str">
        <f t="shared" si="109"/>
        <v/>
      </c>
      <c r="AK637" t="e">
        <f t="shared" ca="1" si="110"/>
        <v>#N/A</v>
      </c>
      <c r="AL637" t="str">
        <f t="shared" ca="1" si="111"/>
        <v/>
      </c>
      <c r="AM637" t="str">
        <f t="shared" si="112"/>
        <v/>
      </c>
      <c r="AN637" s="172">
        <f t="shared" si="113"/>
        <v>0</v>
      </c>
      <c r="AO637">
        <f t="shared" si="114"/>
        <v>0</v>
      </c>
      <c r="AP637" t="str">
        <f t="shared" ca="1" si="115"/>
        <v/>
      </c>
      <c r="AQ637" t="str">
        <f t="shared" ca="1" si="116"/>
        <v/>
      </c>
    </row>
    <row r="638" spans="1:43" ht="20.100000000000001" customHeight="1">
      <c r="A638" s="11">
        <f t="shared" si="107"/>
        <v>45797</v>
      </c>
      <c r="C638" s="39"/>
      <c r="Z638" s="154" t="str">
        <f t="shared" si="108"/>
        <v/>
      </c>
      <c r="AE638" s="172">
        <f t="shared" si="106"/>
        <v>3.472222222222222E-3</v>
      </c>
      <c r="AG638" s="154" t="str">
        <f t="shared" si="109"/>
        <v/>
      </c>
      <c r="AK638" t="e">
        <f t="shared" ca="1" si="110"/>
        <v>#N/A</v>
      </c>
      <c r="AL638" t="str">
        <f t="shared" ca="1" si="111"/>
        <v/>
      </c>
      <c r="AM638" t="str">
        <f t="shared" si="112"/>
        <v/>
      </c>
      <c r="AN638" s="172">
        <f t="shared" si="113"/>
        <v>0</v>
      </c>
      <c r="AO638">
        <f t="shared" si="114"/>
        <v>0</v>
      </c>
      <c r="AP638" t="str">
        <f t="shared" ca="1" si="115"/>
        <v/>
      </c>
      <c r="AQ638" t="str">
        <f t="shared" ca="1" si="116"/>
        <v/>
      </c>
    </row>
    <row r="639" spans="1:43" ht="20.100000000000001" customHeight="1">
      <c r="A639" s="11">
        <f t="shared" si="107"/>
        <v>45797</v>
      </c>
      <c r="C639" s="39"/>
      <c r="Z639" s="154" t="str">
        <f t="shared" si="108"/>
        <v/>
      </c>
      <c r="AE639" s="172">
        <f t="shared" si="106"/>
        <v>3.472222222222222E-3</v>
      </c>
      <c r="AG639" s="154" t="str">
        <f t="shared" si="109"/>
        <v/>
      </c>
      <c r="AK639" t="e">
        <f t="shared" ca="1" si="110"/>
        <v>#N/A</v>
      </c>
      <c r="AL639" t="str">
        <f t="shared" ca="1" si="111"/>
        <v/>
      </c>
      <c r="AM639" t="str">
        <f t="shared" si="112"/>
        <v/>
      </c>
      <c r="AN639" s="172">
        <f t="shared" si="113"/>
        <v>0</v>
      </c>
      <c r="AO639">
        <f t="shared" si="114"/>
        <v>0</v>
      </c>
      <c r="AP639" t="str">
        <f t="shared" ca="1" si="115"/>
        <v/>
      </c>
      <c r="AQ639" t="str">
        <f t="shared" ca="1" si="116"/>
        <v/>
      </c>
    </row>
    <row r="640" spans="1:43" ht="20.100000000000001" customHeight="1">
      <c r="A640" s="11">
        <f t="shared" si="107"/>
        <v>45797</v>
      </c>
      <c r="C640" s="39"/>
      <c r="Z640" s="154" t="str">
        <f t="shared" si="108"/>
        <v/>
      </c>
      <c r="AE640" s="172">
        <f t="shared" si="106"/>
        <v>3.472222222222222E-3</v>
      </c>
      <c r="AG640" s="154" t="str">
        <f t="shared" si="109"/>
        <v/>
      </c>
      <c r="AK640" t="e">
        <f t="shared" ca="1" si="110"/>
        <v>#N/A</v>
      </c>
      <c r="AL640" t="str">
        <f t="shared" ca="1" si="111"/>
        <v/>
      </c>
      <c r="AM640" t="str">
        <f t="shared" si="112"/>
        <v/>
      </c>
      <c r="AN640" s="172">
        <f t="shared" si="113"/>
        <v>0</v>
      </c>
      <c r="AO640">
        <f t="shared" si="114"/>
        <v>0</v>
      </c>
      <c r="AP640" t="str">
        <f t="shared" ca="1" si="115"/>
        <v/>
      </c>
      <c r="AQ640" t="str">
        <f t="shared" ca="1" si="116"/>
        <v/>
      </c>
    </row>
    <row r="641" spans="1:43" ht="20.100000000000001" customHeight="1">
      <c r="A641" s="11">
        <f t="shared" si="107"/>
        <v>45797</v>
      </c>
      <c r="C641" s="39"/>
      <c r="Z641" s="154" t="str">
        <f t="shared" si="108"/>
        <v/>
      </c>
      <c r="AE641" s="172">
        <f t="shared" si="106"/>
        <v>3.472222222222222E-3</v>
      </c>
      <c r="AG641" s="154" t="str">
        <f t="shared" si="109"/>
        <v/>
      </c>
      <c r="AK641" t="e">
        <f t="shared" ca="1" si="110"/>
        <v>#N/A</v>
      </c>
      <c r="AL641" t="str">
        <f t="shared" ca="1" si="111"/>
        <v/>
      </c>
      <c r="AM641" t="str">
        <f t="shared" si="112"/>
        <v/>
      </c>
      <c r="AN641" s="172">
        <f t="shared" si="113"/>
        <v>0</v>
      </c>
      <c r="AO641">
        <f t="shared" si="114"/>
        <v>0</v>
      </c>
      <c r="AP641" t="str">
        <f t="shared" ca="1" si="115"/>
        <v/>
      </c>
      <c r="AQ641" t="str">
        <f t="shared" ca="1" si="116"/>
        <v/>
      </c>
    </row>
    <row r="642" spans="1:43" ht="20.100000000000001" customHeight="1">
      <c r="A642" s="11">
        <f t="shared" si="107"/>
        <v>45797</v>
      </c>
      <c r="C642" s="39"/>
      <c r="Z642" s="154" t="str">
        <f t="shared" si="108"/>
        <v/>
      </c>
      <c r="AE642" s="172">
        <f t="shared" si="106"/>
        <v>3.472222222222222E-3</v>
      </c>
      <c r="AG642" s="154" t="str">
        <f t="shared" si="109"/>
        <v/>
      </c>
      <c r="AK642" t="e">
        <f t="shared" ca="1" si="110"/>
        <v>#N/A</v>
      </c>
      <c r="AL642" t="str">
        <f t="shared" ca="1" si="111"/>
        <v/>
      </c>
      <c r="AM642" t="str">
        <f t="shared" si="112"/>
        <v/>
      </c>
      <c r="AN642" s="172">
        <f t="shared" si="113"/>
        <v>0</v>
      </c>
      <c r="AO642">
        <f t="shared" si="114"/>
        <v>0</v>
      </c>
      <c r="AP642" t="str">
        <f t="shared" ca="1" si="115"/>
        <v/>
      </c>
      <c r="AQ642" t="str">
        <f t="shared" ca="1" si="116"/>
        <v/>
      </c>
    </row>
    <row r="643" spans="1:43" ht="20.100000000000001" customHeight="1">
      <c r="A643" s="11">
        <f t="shared" si="107"/>
        <v>45797</v>
      </c>
      <c r="C643" s="39"/>
      <c r="Z643" s="154" t="str">
        <f t="shared" si="108"/>
        <v/>
      </c>
      <c r="AE643" s="172">
        <f t="shared" si="106"/>
        <v>3.472222222222222E-3</v>
      </c>
      <c r="AG643" s="154" t="str">
        <f t="shared" si="109"/>
        <v/>
      </c>
      <c r="AK643" t="e">
        <f t="shared" ca="1" si="110"/>
        <v>#N/A</v>
      </c>
      <c r="AL643" t="str">
        <f t="shared" ca="1" si="111"/>
        <v/>
      </c>
      <c r="AM643" t="str">
        <f t="shared" si="112"/>
        <v/>
      </c>
      <c r="AN643" s="172">
        <f t="shared" si="113"/>
        <v>0</v>
      </c>
      <c r="AO643">
        <f t="shared" si="114"/>
        <v>0</v>
      </c>
      <c r="AP643" t="str">
        <f t="shared" ca="1" si="115"/>
        <v/>
      </c>
      <c r="AQ643" t="str">
        <f t="shared" ca="1" si="116"/>
        <v/>
      </c>
    </row>
    <row r="644" spans="1:43" ht="20.100000000000001" customHeight="1">
      <c r="A644" s="11">
        <f t="shared" si="107"/>
        <v>45797</v>
      </c>
      <c r="C644" s="39"/>
      <c r="Z644" s="154" t="str">
        <f t="shared" si="108"/>
        <v/>
      </c>
      <c r="AE644" s="172">
        <f t="shared" si="106"/>
        <v>3.472222222222222E-3</v>
      </c>
      <c r="AG644" s="154" t="str">
        <f t="shared" si="109"/>
        <v/>
      </c>
      <c r="AK644" t="e">
        <f t="shared" ca="1" si="110"/>
        <v>#N/A</v>
      </c>
      <c r="AL644" t="str">
        <f t="shared" ca="1" si="111"/>
        <v/>
      </c>
      <c r="AM644" t="str">
        <f t="shared" si="112"/>
        <v/>
      </c>
      <c r="AN644" s="172">
        <f t="shared" si="113"/>
        <v>0</v>
      </c>
      <c r="AO644">
        <f t="shared" si="114"/>
        <v>0</v>
      </c>
      <c r="AP644" t="str">
        <f t="shared" ca="1" si="115"/>
        <v/>
      </c>
      <c r="AQ644" t="str">
        <f t="shared" ca="1" si="116"/>
        <v/>
      </c>
    </row>
    <row r="645" spans="1:43" ht="20.100000000000001" customHeight="1">
      <c r="A645" s="11">
        <f t="shared" si="107"/>
        <v>45797</v>
      </c>
      <c r="C645" s="39"/>
      <c r="Z645" s="154" t="str">
        <f t="shared" si="108"/>
        <v/>
      </c>
      <c r="AE645" s="172">
        <f t="shared" ref="AE645:AE708" si="117">TIME(0,$K645+5,0)</f>
        <v>3.472222222222222E-3</v>
      </c>
      <c r="AG645" s="154" t="str">
        <f t="shared" si="109"/>
        <v/>
      </c>
      <c r="AK645" t="e">
        <f t="shared" ca="1" si="110"/>
        <v>#N/A</v>
      </c>
      <c r="AL645" t="str">
        <f t="shared" ca="1" si="111"/>
        <v/>
      </c>
      <c r="AM645" t="str">
        <f t="shared" si="112"/>
        <v/>
      </c>
      <c r="AN645" s="172">
        <f t="shared" si="113"/>
        <v>0</v>
      </c>
      <c r="AO645">
        <f t="shared" si="114"/>
        <v>0</v>
      </c>
      <c r="AP645" t="str">
        <f t="shared" ca="1" si="115"/>
        <v/>
      </c>
      <c r="AQ645" t="str">
        <f t="shared" ca="1" si="116"/>
        <v/>
      </c>
    </row>
    <row r="646" spans="1:43" ht="20.100000000000001" customHeight="1">
      <c r="A646" s="11">
        <f t="shared" ref="A646:A709" si="118">A645</f>
        <v>45797</v>
      </c>
      <c r="C646" s="39"/>
      <c r="Z646" s="154" t="str">
        <f t="shared" ref="Z646:Z709" si="119">IF(Y646="","",$Y646+TIME(0,5,0))</f>
        <v/>
      </c>
      <c r="AE646" s="172">
        <f t="shared" si="117"/>
        <v>3.472222222222222E-3</v>
      </c>
      <c r="AG646" s="154" t="str">
        <f t="shared" ref="AG646:AG709" si="120">IF(AF646="","",IF(D646="トラブル報告",AF646+TIME(0,45,0),SUM(AE646,AF646)))</f>
        <v/>
      </c>
      <c r="AK646" t="e">
        <f t="shared" ca="1" si="110"/>
        <v>#N/A</v>
      </c>
      <c r="AL646" t="str">
        <f t="shared" ca="1" si="111"/>
        <v/>
      </c>
      <c r="AM646" t="str">
        <f t="shared" si="112"/>
        <v/>
      </c>
      <c r="AN646" s="172">
        <f t="shared" si="113"/>
        <v>0</v>
      </c>
      <c r="AO646">
        <f t="shared" si="114"/>
        <v>0</v>
      </c>
      <c r="AP646" t="str">
        <f t="shared" ca="1" si="115"/>
        <v/>
      </c>
      <c r="AQ646" t="str">
        <f t="shared" ca="1" si="116"/>
        <v/>
      </c>
    </row>
    <row r="647" spans="1:43" ht="20.100000000000001" customHeight="1">
      <c r="A647" s="11">
        <f t="shared" si="118"/>
        <v>45797</v>
      </c>
      <c r="C647" s="39"/>
      <c r="Z647" s="154" t="str">
        <f t="shared" si="119"/>
        <v/>
      </c>
      <c r="AE647" s="172">
        <f t="shared" si="117"/>
        <v>3.472222222222222E-3</v>
      </c>
      <c r="AG647" s="154" t="str">
        <f t="shared" si="120"/>
        <v/>
      </c>
      <c r="AK647" t="e">
        <f t="shared" ca="1" si="110"/>
        <v>#N/A</v>
      </c>
      <c r="AL647" t="str">
        <f t="shared" ca="1" si="111"/>
        <v/>
      </c>
      <c r="AM647" t="str">
        <f t="shared" si="112"/>
        <v/>
      </c>
      <c r="AN647" s="172">
        <f t="shared" si="113"/>
        <v>0</v>
      </c>
      <c r="AO647">
        <f t="shared" si="114"/>
        <v>0</v>
      </c>
      <c r="AP647" t="str">
        <f t="shared" ca="1" si="115"/>
        <v/>
      </c>
      <c r="AQ647" t="str">
        <f t="shared" ca="1" si="116"/>
        <v/>
      </c>
    </row>
    <row r="648" spans="1:43" ht="20.100000000000001" customHeight="1">
      <c r="A648" s="11">
        <f t="shared" si="118"/>
        <v>45797</v>
      </c>
      <c r="C648" s="39"/>
      <c r="Z648" s="154" t="str">
        <f t="shared" si="119"/>
        <v/>
      </c>
      <c r="AE648" s="172">
        <f t="shared" si="117"/>
        <v>3.472222222222222E-3</v>
      </c>
      <c r="AG648" s="154" t="str">
        <f t="shared" si="120"/>
        <v/>
      </c>
      <c r="AK648" t="e">
        <f t="shared" ca="1" si="110"/>
        <v>#N/A</v>
      </c>
      <c r="AL648" t="str">
        <f t="shared" ca="1" si="111"/>
        <v/>
      </c>
      <c r="AM648" t="str">
        <f t="shared" si="112"/>
        <v/>
      </c>
      <c r="AN648" s="172">
        <f t="shared" si="113"/>
        <v>0</v>
      </c>
      <c r="AO648">
        <f t="shared" si="114"/>
        <v>0</v>
      </c>
      <c r="AP648" t="str">
        <f t="shared" ca="1" si="115"/>
        <v/>
      </c>
      <c r="AQ648" t="str">
        <f t="shared" ca="1" si="116"/>
        <v/>
      </c>
    </row>
    <row r="649" spans="1:43" ht="20.100000000000001" customHeight="1">
      <c r="A649" s="11">
        <f t="shared" si="118"/>
        <v>45797</v>
      </c>
      <c r="C649" s="39"/>
      <c r="Z649" s="154" t="str">
        <f t="shared" si="119"/>
        <v/>
      </c>
      <c r="AE649" s="172">
        <f t="shared" si="117"/>
        <v>3.472222222222222E-3</v>
      </c>
      <c r="AG649" s="154" t="str">
        <f t="shared" si="120"/>
        <v/>
      </c>
      <c r="AK649" t="e">
        <f t="shared" ca="1" si="110"/>
        <v>#N/A</v>
      </c>
      <c r="AL649" t="str">
        <f t="shared" ca="1" si="111"/>
        <v/>
      </c>
      <c r="AM649" t="str">
        <f t="shared" si="112"/>
        <v/>
      </c>
      <c r="AN649" s="172">
        <f t="shared" si="113"/>
        <v>0</v>
      </c>
      <c r="AO649">
        <f t="shared" si="114"/>
        <v>0</v>
      </c>
      <c r="AP649" t="str">
        <f t="shared" ca="1" si="115"/>
        <v/>
      </c>
      <c r="AQ649" t="str">
        <f t="shared" ca="1" si="116"/>
        <v/>
      </c>
    </row>
    <row r="650" spans="1:43" ht="20.100000000000001" customHeight="1">
      <c r="A650" s="11">
        <f t="shared" si="118"/>
        <v>45797</v>
      </c>
      <c r="C650" s="39"/>
      <c r="Z650" s="154" t="str">
        <f t="shared" si="119"/>
        <v/>
      </c>
      <c r="AE650" s="172">
        <f t="shared" si="117"/>
        <v>3.472222222222222E-3</v>
      </c>
      <c r="AG650" s="154" t="str">
        <f t="shared" si="120"/>
        <v/>
      </c>
      <c r="AK650" t="e">
        <f t="shared" ca="1" si="110"/>
        <v>#N/A</v>
      </c>
      <c r="AL650" t="str">
        <f t="shared" ca="1" si="111"/>
        <v/>
      </c>
      <c r="AM650" t="str">
        <f t="shared" si="112"/>
        <v/>
      </c>
      <c r="AN650" s="172">
        <f t="shared" si="113"/>
        <v>0</v>
      </c>
      <c r="AO650">
        <f t="shared" si="114"/>
        <v>0</v>
      </c>
      <c r="AP650" t="str">
        <f t="shared" ca="1" si="115"/>
        <v/>
      </c>
      <c r="AQ650" t="str">
        <f t="shared" ca="1" si="116"/>
        <v/>
      </c>
    </row>
    <row r="651" spans="1:43" ht="20.100000000000001" customHeight="1">
      <c r="A651" s="11">
        <f t="shared" si="118"/>
        <v>45797</v>
      </c>
      <c r="C651" s="39"/>
      <c r="Z651" s="154" t="str">
        <f t="shared" si="119"/>
        <v/>
      </c>
      <c r="AE651" s="172">
        <f t="shared" si="117"/>
        <v>3.472222222222222E-3</v>
      </c>
      <c r="AG651" s="154" t="str">
        <f t="shared" si="120"/>
        <v/>
      </c>
      <c r="AK651" t="e">
        <f t="shared" ca="1" si="110"/>
        <v>#N/A</v>
      </c>
      <c r="AL651" t="str">
        <f t="shared" ca="1" si="111"/>
        <v/>
      </c>
      <c r="AM651" t="str">
        <f t="shared" si="112"/>
        <v/>
      </c>
      <c r="AN651" s="172">
        <f t="shared" si="113"/>
        <v>0</v>
      </c>
      <c r="AO651">
        <f t="shared" si="114"/>
        <v>0</v>
      </c>
      <c r="AP651" t="str">
        <f t="shared" ca="1" si="115"/>
        <v/>
      </c>
      <c r="AQ651" t="str">
        <f t="shared" ca="1" si="116"/>
        <v/>
      </c>
    </row>
    <row r="652" spans="1:43" ht="20.100000000000001" customHeight="1">
      <c r="A652" s="11">
        <f t="shared" si="118"/>
        <v>45797</v>
      </c>
      <c r="C652" s="39"/>
      <c r="Z652" s="154" t="str">
        <f t="shared" si="119"/>
        <v/>
      </c>
      <c r="AE652" s="172">
        <f t="shared" si="117"/>
        <v>3.472222222222222E-3</v>
      </c>
      <c r="AG652" s="154" t="str">
        <f t="shared" si="120"/>
        <v/>
      </c>
      <c r="AK652" t="e">
        <f t="shared" ca="1" si="110"/>
        <v>#N/A</v>
      </c>
      <c r="AL652" t="str">
        <f t="shared" ca="1" si="111"/>
        <v/>
      </c>
      <c r="AM652" t="str">
        <f t="shared" si="112"/>
        <v/>
      </c>
      <c r="AN652" s="172">
        <f t="shared" si="113"/>
        <v>0</v>
      </c>
      <c r="AO652">
        <f t="shared" si="114"/>
        <v>0</v>
      </c>
      <c r="AP652" t="str">
        <f t="shared" ca="1" si="115"/>
        <v/>
      </c>
      <c r="AQ652" t="str">
        <f t="shared" ca="1" si="116"/>
        <v/>
      </c>
    </row>
    <row r="653" spans="1:43" ht="20.100000000000001" customHeight="1">
      <c r="A653" s="11">
        <f t="shared" si="118"/>
        <v>45797</v>
      </c>
      <c r="C653" s="39"/>
      <c r="Z653" s="154" t="str">
        <f t="shared" si="119"/>
        <v/>
      </c>
      <c r="AE653" s="172">
        <f t="shared" si="117"/>
        <v>3.472222222222222E-3</v>
      </c>
      <c r="AG653" s="154" t="str">
        <f t="shared" si="120"/>
        <v/>
      </c>
      <c r="AK653" t="e">
        <f t="shared" ca="1" si="110"/>
        <v>#N/A</v>
      </c>
      <c r="AL653" t="str">
        <f t="shared" ca="1" si="111"/>
        <v/>
      </c>
      <c r="AM653" t="str">
        <f t="shared" si="112"/>
        <v/>
      </c>
      <c r="AN653" s="172">
        <f t="shared" si="113"/>
        <v>0</v>
      </c>
      <c r="AO653">
        <f t="shared" si="114"/>
        <v>0</v>
      </c>
      <c r="AP653" t="str">
        <f t="shared" ca="1" si="115"/>
        <v/>
      </c>
      <c r="AQ653" t="str">
        <f t="shared" ca="1" si="116"/>
        <v/>
      </c>
    </row>
    <row r="654" spans="1:43" ht="20.100000000000001" customHeight="1">
      <c r="A654" s="11">
        <f t="shared" si="118"/>
        <v>45797</v>
      </c>
      <c r="C654" s="39"/>
      <c r="Z654" s="154" t="str">
        <f t="shared" si="119"/>
        <v/>
      </c>
      <c r="AE654" s="172">
        <f t="shared" si="117"/>
        <v>3.472222222222222E-3</v>
      </c>
      <c r="AG654" s="154" t="str">
        <f t="shared" si="120"/>
        <v/>
      </c>
      <c r="AK654" t="e">
        <f t="shared" ca="1" si="110"/>
        <v>#N/A</v>
      </c>
      <c r="AL654" t="str">
        <f t="shared" ca="1" si="111"/>
        <v/>
      </c>
      <c r="AM654" t="str">
        <f t="shared" si="112"/>
        <v/>
      </c>
      <c r="AN654" s="172">
        <f t="shared" si="113"/>
        <v>0</v>
      </c>
      <c r="AO654">
        <f t="shared" si="114"/>
        <v>0</v>
      </c>
      <c r="AP654" t="str">
        <f t="shared" ca="1" si="115"/>
        <v/>
      </c>
      <c r="AQ654" t="str">
        <f t="shared" ca="1" si="116"/>
        <v/>
      </c>
    </row>
    <row r="655" spans="1:43" ht="20.100000000000001" customHeight="1">
      <c r="A655" s="11">
        <f t="shared" si="118"/>
        <v>45797</v>
      </c>
      <c r="C655" s="39"/>
      <c r="Z655" s="154" t="str">
        <f t="shared" si="119"/>
        <v/>
      </c>
      <c r="AE655" s="172">
        <f t="shared" si="117"/>
        <v>3.472222222222222E-3</v>
      </c>
      <c r="AG655" s="154" t="str">
        <f t="shared" si="120"/>
        <v/>
      </c>
      <c r="AK655" t="e">
        <f t="shared" ca="1" si="110"/>
        <v>#N/A</v>
      </c>
      <c r="AL655" t="str">
        <f t="shared" ca="1" si="111"/>
        <v/>
      </c>
      <c r="AM655" t="str">
        <f t="shared" si="112"/>
        <v/>
      </c>
      <c r="AN655" s="172">
        <f t="shared" si="113"/>
        <v>0</v>
      </c>
      <c r="AO655">
        <f t="shared" si="114"/>
        <v>0</v>
      </c>
      <c r="AP655" t="str">
        <f t="shared" ca="1" si="115"/>
        <v/>
      </c>
      <c r="AQ655" t="str">
        <f t="shared" ca="1" si="116"/>
        <v/>
      </c>
    </row>
    <row r="656" spans="1:43" ht="20.100000000000001" customHeight="1">
      <c r="A656" s="11">
        <f t="shared" si="118"/>
        <v>45797</v>
      </c>
      <c r="C656" s="39"/>
      <c r="Z656" s="154" t="str">
        <f t="shared" si="119"/>
        <v/>
      </c>
      <c r="AE656" s="172">
        <f t="shared" si="117"/>
        <v>3.472222222222222E-3</v>
      </c>
      <c r="AG656" s="154" t="str">
        <f t="shared" si="120"/>
        <v/>
      </c>
      <c r="AK656" t="e">
        <f t="shared" ca="1" si="110"/>
        <v>#N/A</v>
      </c>
      <c r="AL656" t="str">
        <f t="shared" ca="1" si="111"/>
        <v/>
      </c>
      <c r="AM656" t="str">
        <f t="shared" si="112"/>
        <v/>
      </c>
      <c r="AN656" s="172">
        <f t="shared" si="113"/>
        <v>0</v>
      </c>
      <c r="AO656">
        <f t="shared" si="114"/>
        <v>0</v>
      </c>
      <c r="AP656" t="str">
        <f t="shared" ca="1" si="115"/>
        <v/>
      </c>
      <c r="AQ656" t="str">
        <f t="shared" ca="1" si="116"/>
        <v/>
      </c>
    </row>
    <row r="657" spans="1:43" ht="20.100000000000001" customHeight="1">
      <c r="A657" s="11">
        <f t="shared" si="118"/>
        <v>45797</v>
      </c>
      <c r="C657" s="39"/>
      <c r="Z657" s="154" t="str">
        <f t="shared" si="119"/>
        <v/>
      </c>
      <c r="AE657" s="172">
        <f t="shared" si="117"/>
        <v>3.472222222222222E-3</v>
      </c>
      <c r="AG657" s="154" t="str">
        <f t="shared" si="120"/>
        <v/>
      </c>
      <c r="AK657" t="e">
        <f t="shared" ca="1" si="110"/>
        <v>#N/A</v>
      </c>
      <c r="AL657" t="str">
        <f t="shared" ca="1" si="111"/>
        <v/>
      </c>
      <c r="AM657" t="str">
        <f t="shared" si="112"/>
        <v/>
      </c>
      <c r="AN657" s="172">
        <f t="shared" si="113"/>
        <v>0</v>
      </c>
      <c r="AO657">
        <f t="shared" si="114"/>
        <v>0</v>
      </c>
      <c r="AP657" t="str">
        <f t="shared" ca="1" si="115"/>
        <v/>
      </c>
      <c r="AQ657" t="str">
        <f t="shared" ca="1" si="116"/>
        <v/>
      </c>
    </row>
    <row r="658" spans="1:43" ht="20.100000000000001" customHeight="1">
      <c r="A658" s="11">
        <f t="shared" si="118"/>
        <v>45797</v>
      </c>
      <c r="C658" s="39"/>
      <c r="Z658" s="154" t="str">
        <f t="shared" si="119"/>
        <v/>
      </c>
      <c r="AE658" s="172">
        <f t="shared" si="117"/>
        <v>3.472222222222222E-3</v>
      </c>
      <c r="AG658" s="154" t="str">
        <f t="shared" si="120"/>
        <v/>
      </c>
      <c r="AK658" t="e">
        <f t="shared" ca="1" si="110"/>
        <v>#N/A</v>
      </c>
      <c r="AL658" t="str">
        <f t="shared" ca="1" si="111"/>
        <v/>
      </c>
      <c r="AM658" t="str">
        <f t="shared" si="112"/>
        <v/>
      </c>
      <c r="AN658" s="172">
        <f t="shared" si="113"/>
        <v>0</v>
      </c>
      <c r="AO658">
        <f t="shared" si="114"/>
        <v>0</v>
      </c>
      <c r="AP658" t="str">
        <f t="shared" ca="1" si="115"/>
        <v/>
      </c>
      <c r="AQ658" t="str">
        <f t="shared" ca="1" si="116"/>
        <v/>
      </c>
    </row>
    <row r="659" spans="1:43" ht="20.100000000000001" customHeight="1">
      <c r="A659" s="11">
        <f t="shared" si="118"/>
        <v>45797</v>
      </c>
      <c r="C659" s="39"/>
      <c r="Z659" s="154" t="str">
        <f t="shared" si="119"/>
        <v/>
      </c>
      <c r="AE659" s="172">
        <f t="shared" si="117"/>
        <v>3.472222222222222E-3</v>
      </c>
      <c r="AG659" s="154" t="str">
        <f t="shared" si="120"/>
        <v/>
      </c>
      <c r="AK659" t="e">
        <f t="shared" ca="1" si="110"/>
        <v>#N/A</v>
      </c>
      <c r="AL659" t="str">
        <f t="shared" ca="1" si="111"/>
        <v/>
      </c>
      <c r="AM659" t="str">
        <f t="shared" si="112"/>
        <v/>
      </c>
      <c r="AN659" s="172">
        <f t="shared" si="113"/>
        <v>0</v>
      </c>
      <c r="AO659">
        <f t="shared" si="114"/>
        <v>0</v>
      </c>
      <c r="AP659" t="str">
        <f t="shared" ca="1" si="115"/>
        <v/>
      </c>
      <c r="AQ659" t="str">
        <f t="shared" ca="1" si="116"/>
        <v/>
      </c>
    </row>
    <row r="660" spans="1:43" ht="20.100000000000001" customHeight="1">
      <c r="A660" s="11">
        <f t="shared" si="118"/>
        <v>45797</v>
      </c>
      <c r="C660" s="39"/>
      <c r="Z660" s="154" t="str">
        <f t="shared" si="119"/>
        <v/>
      </c>
      <c r="AE660" s="172">
        <f t="shared" si="117"/>
        <v>3.472222222222222E-3</v>
      </c>
      <c r="AG660" s="154" t="str">
        <f t="shared" si="120"/>
        <v/>
      </c>
      <c r="AK660" t="e">
        <f t="shared" ca="1" si="110"/>
        <v>#N/A</v>
      </c>
      <c r="AL660" t="str">
        <f t="shared" ca="1" si="111"/>
        <v/>
      </c>
      <c r="AM660" t="str">
        <f t="shared" si="112"/>
        <v/>
      </c>
      <c r="AN660" s="172">
        <f t="shared" si="113"/>
        <v>0</v>
      </c>
      <c r="AO660">
        <f t="shared" si="114"/>
        <v>0</v>
      </c>
      <c r="AP660" t="str">
        <f t="shared" ca="1" si="115"/>
        <v/>
      </c>
      <c r="AQ660" t="str">
        <f t="shared" ca="1" si="116"/>
        <v/>
      </c>
    </row>
    <row r="661" spans="1:43" ht="20.100000000000001" customHeight="1">
      <c r="A661" s="11">
        <f t="shared" si="118"/>
        <v>45797</v>
      </c>
      <c r="C661" s="39"/>
      <c r="Z661" s="154" t="str">
        <f t="shared" si="119"/>
        <v/>
      </c>
      <c r="AE661" s="172">
        <f t="shared" si="117"/>
        <v>3.472222222222222E-3</v>
      </c>
      <c r="AG661" s="154" t="str">
        <f t="shared" si="120"/>
        <v/>
      </c>
      <c r="AK661" t="e">
        <f t="shared" ca="1" si="110"/>
        <v>#N/A</v>
      </c>
      <c r="AL661" t="str">
        <f t="shared" ca="1" si="111"/>
        <v/>
      </c>
      <c r="AM661" t="str">
        <f t="shared" si="112"/>
        <v/>
      </c>
      <c r="AN661" s="172">
        <f t="shared" si="113"/>
        <v>0</v>
      </c>
      <c r="AO661">
        <f t="shared" si="114"/>
        <v>0</v>
      </c>
      <c r="AP661" t="str">
        <f t="shared" ca="1" si="115"/>
        <v/>
      </c>
      <c r="AQ661" t="str">
        <f t="shared" ca="1" si="116"/>
        <v/>
      </c>
    </row>
    <row r="662" spans="1:43" ht="20.100000000000001" customHeight="1">
      <c r="A662" s="11">
        <f t="shared" si="118"/>
        <v>45797</v>
      </c>
      <c r="C662" s="39"/>
      <c r="Z662" s="154" t="str">
        <f t="shared" si="119"/>
        <v/>
      </c>
      <c r="AE662" s="172">
        <f t="shared" si="117"/>
        <v>3.472222222222222E-3</v>
      </c>
      <c r="AG662" s="154" t="str">
        <f t="shared" si="120"/>
        <v/>
      </c>
      <c r="AK662" t="e">
        <f t="shared" ca="1" si="110"/>
        <v>#N/A</v>
      </c>
      <c r="AL662" t="str">
        <f t="shared" ca="1" si="111"/>
        <v/>
      </c>
      <c r="AM662" t="str">
        <f t="shared" si="112"/>
        <v/>
      </c>
      <c r="AN662" s="172">
        <f t="shared" si="113"/>
        <v>0</v>
      </c>
      <c r="AO662">
        <f t="shared" si="114"/>
        <v>0</v>
      </c>
      <c r="AP662" t="str">
        <f t="shared" ca="1" si="115"/>
        <v/>
      </c>
      <c r="AQ662" t="str">
        <f t="shared" ca="1" si="116"/>
        <v/>
      </c>
    </row>
    <row r="663" spans="1:43" ht="20.100000000000001" customHeight="1">
      <c r="A663" s="11">
        <f t="shared" si="118"/>
        <v>45797</v>
      </c>
      <c r="C663" s="39"/>
      <c r="Z663" s="154" t="str">
        <f t="shared" si="119"/>
        <v/>
      </c>
      <c r="AE663" s="172">
        <f t="shared" si="117"/>
        <v>3.472222222222222E-3</v>
      </c>
      <c r="AG663" s="154" t="str">
        <f t="shared" si="120"/>
        <v/>
      </c>
      <c r="AK663" t="e">
        <f t="shared" ca="1" si="110"/>
        <v>#N/A</v>
      </c>
      <c r="AL663" t="str">
        <f t="shared" ca="1" si="111"/>
        <v/>
      </c>
      <c r="AM663" t="str">
        <f t="shared" si="112"/>
        <v/>
      </c>
      <c r="AN663" s="172">
        <f t="shared" si="113"/>
        <v>0</v>
      </c>
      <c r="AO663">
        <f t="shared" si="114"/>
        <v>0</v>
      </c>
      <c r="AP663" t="str">
        <f t="shared" ca="1" si="115"/>
        <v/>
      </c>
      <c r="AQ663" t="str">
        <f t="shared" ca="1" si="116"/>
        <v/>
      </c>
    </row>
    <row r="664" spans="1:43" ht="20.100000000000001" customHeight="1">
      <c r="A664" s="11">
        <f t="shared" si="118"/>
        <v>45797</v>
      </c>
      <c r="C664" s="39"/>
      <c r="Z664" s="154" t="str">
        <f t="shared" si="119"/>
        <v/>
      </c>
      <c r="AE664" s="172">
        <f t="shared" si="117"/>
        <v>3.472222222222222E-3</v>
      </c>
      <c r="AG664" s="154" t="str">
        <f t="shared" si="120"/>
        <v/>
      </c>
      <c r="AK664" t="e">
        <f t="shared" ca="1" si="110"/>
        <v>#N/A</v>
      </c>
      <c r="AL664" t="str">
        <f t="shared" ca="1" si="111"/>
        <v/>
      </c>
      <c r="AM664" t="str">
        <f t="shared" si="112"/>
        <v/>
      </c>
      <c r="AN664" s="172">
        <f t="shared" si="113"/>
        <v>0</v>
      </c>
      <c r="AO664">
        <f t="shared" si="114"/>
        <v>0</v>
      </c>
      <c r="AP664" t="str">
        <f t="shared" ca="1" si="115"/>
        <v/>
      </c>
      <c r="AQ664" t="str">
        <f t="shared" ca="1" si="116"/>
        <v/>
      </c>
    </row>
    <row r="665" spans="1:43" ht="20.100000000000001" customHeight="1">
      <c r="A665" s="11">
        <f t="shared" si="118"/>
        <v>45797</v>
      </c>
      <c r="C665" s="39"/>
      <c r="Z665" s="154" t="str">
        <f t="shared" si="119"/>
        <v/>
      </c>
      <c r="AE665" s="172">
        <f t="shared" si="117"/>
        <v>3.472222222222222E-3</v>
      </c>
      <c r="AG665" s="154" t="str">
        <f t="shared" si="120"/>
        <v/>
      </c>
      <c r="AK665" t="e">
        <f t="shared" ca="1" si="110"/>
        <v>#N/A</v>
      </c>
      <c r="AL665" t="str">
        <f t="shared" ca="1" si="111"/>
        <v/>
      </c>
      <c r="AM665" t="str">
        <f t="shared" si="112"/>
        <v/>
      </c>
      <c r="AN665" s="172">
        <f t="shared" si="113"/>
        <v>0</v>
      </c>
      <c r="AO665">
        <f t="shared" si="114"/>
        <v>0</v>
      </c>
      <c r="AP665" t="str">
        <f t="shared" ca="1" si="115"/>
        <v/>
      </c>
      <c r="AQ665" t="str">
        <f t="shared" ca="1" si="116"/>
        <v/>
      </c>
    </row>
    <row r="666" spans="1:43" ht="20.100000000000001" customHeight="1">
      <c r="A666" s="11">
        <f t="shared" si="118"/>
        <v>45797</v>
      </c>
      <c r="C666" s="39"/>
      <c r="Z666" s="154" t="str">
        <f t="shared" si="119"/>
        <v/>
      </c>
      <c r="AE666" s="172">
        <f t="shared" si="117"/>
        <v>3.472222222222222E-3</v>
      </c>
      <c r="AG666" s="154" t="str">
        <f t="shared" si="120"/>
        <v/>
      </c>
      <c r="AK666" t="e">
        <f t="shared" ca="1" si="110"/>
        <v>#N/A</v>
      </c>
      <c r="AL666" t="str">
        <f t="shared" ca="1" si="111"/>
        <v/>
      </c>
      <c r="AM666" t="str">
        <f t="shared" si="112"/>
        <v/>
      </c>
      <c r="AN666" s="172">
        <f t="shared" si="113"/>
        <v>0</v>
      </c>
      <c r="AO666">
        <f t="shared" si="114"/>
        <v>0</v>
      </c>
      <c r="AP666" t="str">
        <f t="shared" ca="1" si="115"/>
        <v/>
      </c>
      <c r="AQ666" t="str">
        <f t="shared" ca="1" si="116"/>
        <v/>
      </c>
    </row>
    <row r="667" spans="1:43" ht="20.100000000000001" customHeight="1">
      <c r="A667" s="11">
        <f t="shared" si="118"/>
        <v>45797</v>
      </c>
      <c r="C667" s="39"/>
      <c r="Z667" s="154" t="str">
        <f t="shared" si="119"/>
        <v/>
      </c>
      <c r="AE667" s="172">
        <f t="shared" si="117"/>
        <v>3.472222222222222E-3</v>
      </c>
      <c r="AG667" s="154" t="str">
        <f t="shared" si="120"/>
        <v/>
      </c>
      <c r="AK667" t="e">
        <f t="shared" ca="1" si="110"/>
        <v>#N/A</v>
      </c>
      <c r="AL667" t="str">
        <f t="shared" ca="1" si="111"/>
        <v/>
      </c>
      <c r="AM667" t="str">
        <f t="shared" si="112"/>
        <v/>
      </c>
      <c r="AN667" s="172">
        <f t="shared" si="113"/>
        <v>0</v>
      </c>
      <c r="AO667">
        <f t="shared" si="114"/>
        <v>0</v>
      </c>
      <c r="AP667" t="str">
        <f t="shared" ca="1" si="115"/>
        <v/>
      </c>
      <c r="AQ667" t="str">
        <f t="shared" ca="1" si="116"/>
        <v/>
      </c>
    </row>
    <row r="668" spans="1:43" ht="20.100000000000001" customHeight="1">
      <c r="A668" s="11">
        <f t="shared" si="118"/>
        <v>45797</v>
      </c>
      <c r="C668" s="39"/>
      <c r="Z668" s="154" t="str">
        <f t="shared" si="119"/>
        <v/>
      </c>
      <c r="AE668" s="172">
        <f t="shared" si="117"/>
        <v>3.472222222222222E-3</v>
      </c>
      <c r="AG668" s="154" t="str">
        <f t="shared" si="120"/>
        <v/>
      </c>
      <c r="AK668" t="e">
        <f t="shared" ca="1" si="110"/>
        <v>#N/A</v>
      </c>
      <c r="AL668" t="str">
        <f t="shared" ca="1" si="111"/>
        <v/>
      </c>
      <c r="AM668" t="str">
        <f t="shared" si="112"/>
        <v/>
      </c>
      <c r="AN668" s="172">
        <f t="shared" si="113"/>
        <v>0</v>
      </c>
      <c r="AO668">
        <f t="shared" si="114"/>
        <v>0</v>
      </c>
      <c r="AP668" t="str">
        <f t="shared" ca="1" si="115"/>
        <v/>
      </c>
      <c r="AQ668" t="str">
        <f t="shared" ca="1" si="116"/>
        <v/>
      </c>
    </row>
    <row r="669" spans="1:43" ht="20.100000000000001" customHeight="1">
      <c r="A669" s="11">
        <f t="shared" si="118"/>
        <v>45797</v>
      </c>
      <c r="C669" s="39"/>
      <c r="Z669" s="154" t="str">
        <f t="shared" si="119"/>
        <v/>
      </c>
      <c r="AE669" s="172">
        <f t="shared" si="117"/>
        <v>3.472222222222222E-3</v>
      </c>
      <c r="AG669" s="154" t="str">
        <f t="shared" si="120"/>
        <v/>
      </c>
      <c r="AK669" t="e">
        <f t="shared" ca="1" si="110"/>
        <v>#N/A</v>
      </c>
      <c r="AL669" t="str">
        <f t="shared" ca="1" si="111"/>
        <v/>
      </c>
      <c r="AM669" t="str">
        <f t="shared" si="112"/>
        <v/>
      </c>
      <c r="AN669" s="172">
        <f t="shared" si="113"/>
        <v>0</v>
      </c>
      <c r="AO669">
        <f t="shared" si="114"/>
        <v>0</v>
      </c>
      <c r="AP669" t="str">
        <f t="shared" ca="1" si="115"/>
        <v/>
      </c>
      <c r="AQ669" t="str">
        <f t="shared" ca="1" si="116"/>
        <v/>
      </c>
    </row>
    <row r="670" spans="1:43" ht="20.100000000000001" customHeight="1">
      <c r="A670" s="11">
        <f t="shared" si="118"/>
        <v>45797</v>
      </c>
      <c r="C670" s="39"/>
      <c r="Z670" s="154" t="str">
        <f t="shared" si="119"/>
        <v/>
      </c>
      <c r="AE670" s="172">
        <f t="shared" si="117"/>
        <v>3.472222222222222E-3</v>
      </c>
      <c r="AG670" s="154" t="str">
        <f t="shared" si="120"/>
        <v/>
      </c>
      <c r="AK670" t="e">
        <f t="shared" ca="1" si="110"/>
        <v>#N/A</v>
      </c>
      <c r="AL670" t="str">
        <f t="shared" ca="1" si="111"/>
        <v/>
      </c>
      <c r="AM670" t="str">
        <f t="shared" si="112"/>
        <v/>
      </c>
      <c r="AN670" s="172">
        <f t="shared" si="113"/>
        <v>0</v>
      </c>
      <c r="AO670">
        <f t="shared" si="114"/>
        <v>0</v>
      </c>
      <c r="AP670" t="str">
        <f t="shared" ca="1" si="115"/>
        <v/>
      </c>
      <c r="AQ670" t="str">
        <f t="shared" ca="1" si="116"/>
        <v/>
      </c>
    </row>
    <row r="671" spans="1:43" ht="20.100000000000001" customHeight="1">
      <c r="A671" s="11">
        <f t="shared" si="118"/>
        <v>45797</v>
      </c>
      <c r="C671" s="39"/>
      <c r="Z671" s="154" t="str">
        <f t="shared" si="119"/>
        <v/>
      </c>
      <c r="AE671" s="172">
        <f t="shared" si="117"/>
        <v>3.472222222222222E-3</v>
      </c>
      <c r="AG671" s="154" t="str">
        <f t="shared" si="120"/>
        <v/>
      </c>
      <c r="AK671" t="e">
        <f t="shared" ca="1" si="110"/>
        <v>#N/A</v>
      </c>
      <c r="AL671" t="str">
        <f t="shared" ca="1" si="111"/>
        <v/>
      </c>
      <c r="AM671" t="str">
        <f t="shared" si="112"/>
        <v/>
      </c>
      <c r="AN671" s="172">
        <f t="shared" si="113"/>
        <v>0</v>
      </c>
      <c r="AO671">
        <f t="shared" si="114"/>
        <v>0</v>
      </c>
      <c r="AP671" t="str">
        <f t="shared" ca="1" si="115"/>
        <v/>
      </c>
      <c r="AQ671" t="str">
        <f t="shared" ca="1" si="116"/>
        <v/>
      </c>
    </row>
    <row r="672" spans="1:43" ht="20.100000000000001" customHeight="1">
      <c r="A672" s="11">
        <f t="shared" si="118"/>
        <v>45797</v>
      </c>
      <c r="C672" s="39"/>
      <c r="Z672" s="154" t="str">
        <f t="shared" si="119"/>
        <v/>
      </c>
      <c r="AE672" s="172">
        <f t="shared" si="117"/>
        <v>3.472222222222222E-3</v>
      </c>
      <c r="AG672" s="154" t="str">
        <f t="shared" si="120"/>
        <v/>
      </c>
      <c r="AK672" t="e">
        <f t="shared" ca="1" si="110"/>
        <v>#N/A</v>
      </c>
      <c r="AL672" t="str">
        <f t="shared" ca="1" si="111"/>
        <v/>
      </c>
      <c r="AM672" t="str">
        <f t="shared" si="112"/>
        <v/>
      </c>
      <c r="AN672" s="172">
        <f t="shared" si="113"/>
        <v>0</v>
      </c>
      <c r="AO672">
        <f t="shared" si="114"/>
        <v>0</v>
      </c>
      <c r="AP672" t="str">
        <f t="shared" ca="1" si="115"/>
        <v/>
      </c>
      <c r="AQ672" t="str">
        <f t="shared" ca="1" si="116"/>
        <v/>
      </c>
    </row>
    <row r="673" spans="1:43" ht="20.100000000000001" customHeight="1">
      <c r="A673" s="11">
        <f t="shared" si="118"/>
        <v>45797</v>
      </c>
      <c r="C673" s="39"/>
      <c r="Z673" s="154" t="str">
        <f t="shared" si="119"/>
        <v/>
      </c>
      <c r="AE673" s="172">
        <f t="shared" si="117"/>
        <v>3.472222222222222E-3</v>
      </c>
      <c r="AG673" s="154" t="str">
        <f t="shared" si="120"/>
        <v/>
      </c>
      <c r="AK673" t="e">
        <f t="shared" ca="1" si="110"/>
        <v>#N/A</v>
      </c>
      <c r="AL673" t="str">
        <f t="shared" ca="1" si="111"/>
        <v/>
      </c>
      <c r="AM673" t="str">
        <f t="shared" si="112"/>
        <v/>
      </c>
      <c r="AN673" s="172">
        <f t="shared" si="113"/>
        <v>0</v>
      </c>
      <c r="AO673">
        <f t="shared" si="114"/>
        <v>0</v>
      </c>
      <c r="AP673" t="str">
        <f t="shared" ca="1" si="115"/>
        <v/>
      </c>
      <c r="AQ673" t="str">
        <f t="shared" ca="1" si="116"/>
        <v/>
      </c>
    </row>
    <row r="674" spans="1:43" ht="20.100000000000001" customHeight="1">
      <c r="A674" s="11">
        <f t="shared" si="118"/>
        <v>45797</v>
      </c>
      <c r="C674" s="39"/>
      <c r="Z674" s="154" t="str">
        <f t="shared" si="119"/>
        <v/>
      </c>
      <c r="AE674" s="172">
        <f t="shared" si="117"/>
        <v>3.472222222222222E-3</v>
      </c>
      <c r="AG674" s="154" t="str">
        <f t="shared" si="120"/>
        <v/>
      </c>
      <c r="AK674" t="e">
        <f t="shared" ca="1" si="110"/>
        <v>#N/A</v>
      </c>
      <c r="AL674" t="str">
        <f t="shared" ca="1" si="111"/>
        <v/>
      </c>
      <c r="AM674" t="str">
        <f t="shared" si="112"/>
        <v/>
      </c>
      <c r="AN674" s="172">
        <f t="shared" si="113"/>
        <v>0</v>
      </c>
      <c r="AO674">
        <f t="shared" si="114"/>
        <v>0</v>
      </c>
      <c r="AP674" t="str">
        <f t="shared" ca="1" si="115"/>
        <v/>
      </c>
      <c r="AQ674" t="str">
        <f t="shared" ca="1" si="116"/>
        <v/>
      </c>
    </row>
    <row r="675" spans="1:43" ht="20.100000000000001" customHeight="1">
      <c r="A675" s="11">
        <f t="shared" si="118"/>
        <v>45797</v>
      </c>
      <c r="C675" s="39"/>
      <c r="Z675" s="154" t="str">
        <f t="shared" si="119"/>
        <v/>
      </c>
      <c r="AE675" s="172">
        <f t="shared" si="117"/>
        <v>3.472222222222222E-3</v>
      </c>
      <c r="AG675" s="154" t="str">
        <f t="shared" si="120"/>
        <v/>
      </c>
      <c r="AK675" t="e">
        <f t="shared" ca="1" si="110"/>
        <v>#N/A</v>
      </c>
      <c r="AL675" t="str">
        <f t="shared" ca="1" si="111"/>
        <v/>
      </c>
      <c r="AM675" t="str">
        <f t="shared" si="112"/>
        <v/>
      </c>
      <c r="AN675" s="172">
        <f t="shared" si="113"/>
        <v>0</v>
      </c>
      <c r="AO675">
        <f t="shared" si="114"/>
        <v>0</v>
      </c>
      <c r="AP675" t="str">
        <f t="shared" ca="1" si="115"/>
        <v/>
      </c>
      <c r="AQ675" t="str">
        <f t="shared" ca="1" si="116"/>
        <v/>
      </c>
    </row>
    <row r="676" spans="1:43" ht="20.100000000000001" customHeight="1">
      <c r="A676" s="11">
        <f t="shared" si="118"/>
        <v>45797</v>
      </c>
      <c r="C676" s="39"/>
      <c r="Z676" s="154" t="str">
        <f t="shared" si="119"/>
        <v/>
      </c>
      <c r="AE676" s="172">
        <f t="shared" si="117"/>
        <v>3.472222222222222E-3</v>
      </c>
      <c r="AG676" s="154" t="str">
        <f t="shared" si="120"/>
        <v/>
      </c>
      <c r="AK676" t="e">
        <f t="shared" ca="1" si="110"/>
        <v>#N/A</v>
      </c>
      <c r="AL676" t="str">
        <f t="shared" ca="1" si="111"/>
        <v/>
      </c>
      <c r="AM676" t="str">
        <f t="shared" si="112"/>
        <v/>
      </c>
      <c r="AN676" s="172">
        <f t="shared" si="113"/>
        <v>0</v>
      </c>
      <c r="AO676">
        <f t="shared" si="114"/>
        <v>0</v>
      </c>
      <c r="AP676" t="str">
        <f t="shared" ca="1" si="115"/>
        <v/>
      </c>
      <c r="AQ676" t="str">
        <f t="shared" ca="1" si="116"/>
        <v/>
      </c>
    </row>
    <row r="677" spans="1:43" ht="20.100000000000001" customHeight="1">
      <c r="A677" s="11">
        <f t="shared" si="118"/>
        <v>45797</v>
      </c>
      <c r="C677" s="39"/>
      <c r="Z677" s="154" t="str">
        <f t="shared" si="119"/>
        <v/>
      </c>
      <c r="AE677" s="172">
        <f t="shared" si="117"/>
        <v>3.472222222222222E-3</v>
      </c>
      <c r="AG677" s="154" t="str">
        <f t="shared" si="120"/>
        <v/>
      </c>
      <c r="AK677" t="e">
        <f t="shared" ca="1" si="110"/>
        <v>#N/A</v>
      </c>
      <c r="AL677" t="str">
        <f t="shared" ca="1" si="111"/>
        <v/>
      </c>
      <c r="AM677" t="str">
        <f t="shared" si="112"/>
        <v/>
      </c>
      <c r="AN677" s="172">
        <f t="shared" si="113"/>
        <v>0</v>
      </c>
      <c r="AO677">
        <f t="shared" si="114"/>
        <v>0</v>
      </c>
      <c r="AP677" t="str">
        <f t="shared" ca="1" si="115"/>
        <v/>
      </c>
      <c r="AQ677" t="str">
        <f t="shared" ca="1" si="116"/>
        <v/>
      </c>
    </row>
    <row r="678" spans="1:43" ht="20.100000000000001" customHeight="1">
      <c r="A678" s="11">
        <f t="shared" si="118"/>
        <v>45797</v>
      </c>
      <c r="C678" s="39"/>
      <c r="Z678" s="154" t="str">
        <f t="shared" si="119"/>
        <v/>
      </c>
      <c r="AE678" s="172">
        <f t="shared" si="117"/>
        <v>3.472222222222222E-3</v>
      </c>
      <c r="AG678" s="154" t="str">
        <f t="shared" si="120"/>
        <v/>
      </c>
      <c r="AK678" t="e">
        <f t="shared" ca="1" si="110"/>
        <v>#N/A</v>
      </c>
      <c r="AL678" t="str">
        <f t="shared" ca="1" si="111"/>
        <v/>
      </c>
      <c r="AM678" t="str">
        <f t="shared" si="112"/>
        <v/>
      </c>
      <c r="AN678" s="172">
        <f t="shared" si="113"/>
        <v>0</v>
      </c>
      <c r="AO678">
        <f t="shared" si="114"/>
        <v>0</v>
      </c>
      <c r="AP678" t="str">
        <f t="shared" ca="1" si="115"/>
        <v/>
      </c>
      <c r="AQ678" t="str">
        <f t="shared" ca="1" si="116"/>
        <v/>
      </c>
    </row>
    <row r="679" spans="1:43" ht="20.100000000000001" customHeight="1">
      <c r="A679" s="11">
        <f t="shared" si="118"/>
        <v>45797</v>
      </c>
      <c r="C679" s="39"/>
      <c r="Z679" s="154" t="str">
        <f t="shared" si="119"/>
        <v/>
      </c>
      <c r="AE679" s="172">
        <f t="shared" si="117"/>
        <v>3.472222222222222E-3</v>
      </c>
      <c r="AG679" s="154" t="str">
        <f t="shared" si="120"/>
        <v/>
      </c>
      <c r="AK679" t="e">
        <f t="shared" ca="1" si="110"/>
        <v>#N/A</v>
      </c>
      <c r="AL679" t="str">
        <f t="shared" ca="1" si="111"/>
        <v/>
      </c>
      <c r="AM679" t="str">
        <f t="shared" si="112"/>
        <v/>
      </c>
      <c r="AN679" s="172">
        <f t="shared" si="113"/>
        <v>0</v>
      </c>
      <c r="AO679">
        <f t="shared" si="114"/>
        <v>0</v>
      </c>
      <c r="AP679" t="str">
        <f t="shared" ca="1" si="115"/>
        <v/>
      </c>
      <c r="AQ679" t="str">
        <f t="shared" ca="1" si="116"/>
        <v/>
      </c>
    </row>
    <row r="680" spans="1:43" ht="20.100000000000001" customHeight="1">
      <c r="A680" s="11">
        <f t="shared" si="118"/>
        <v>45797</v>
      </c>
      <c r="C680" s="39"/>
      <c r="Z680" s="154" t="str">
        <f t="shared" si="119"/>
        <v/>
      </c>
      <c r="AE680" s="172">
        <f t="shared" si="117"/>
        <v>3.472222222222222E-3</v>
      </c>
      <c r="AG680" s="154" t="str">
        <f t="shared" si="120"/>
        <v/>
      </c>
      <c r="AK680" t="e">
        <f t="shared" ca="1" si="110"/>
        <v>#N/A</v>
      </c>
      <c r="AL680" t="str">
        <f t="shared" ca="1" si="111"/>
        <v/>
      </c>
      <c r="AM680" t="str">
        <f t="shared" si="112"/>
        <v/>
      </c>
      <c r="AN680" s="172">
        <f t="shared" si="113"/>
        <v>0</v>
      </c>
      <c r="AO680">
        <f t="shared" si="114"/>
        <v>0</v>
      </c>
      <c r="AP680" t="str">
        <f t="shared" ca="1" si="115"/>
        <v/>
      </c>
      <c r="AQ680" t="str">
        <f t="shared" ca="1" si="116"/>
        <v/>
      </c>
    </row>
    <row r="681" spans="1:43" ht="20.100000000000001" customHeight="1">
      <c r="A681" s="11">
        <f t="shared" si="118"/>
        <v>45797</v>
      </c>
      <c r="C681" s="39"/>
      <c r="Z681" s="154" t="str">
        <f t="shared" si="119"/>
        <v/>
      </c>
      <c r="AE681" s="172">
        <f t="shared" si="117"/>
        <v>3.472222222222222E-3</v>
      </c>
      <c r="AG681" s="154" t="str">
        <f t="shared" si="120"/>
        <v/>
      </c>
      <c r="AK681" t="e">
        <f t="shared" ca="1" si="110"/>
        <v>#N/A</v>
      </c>
      <c r="AL681" t="str">
        <f t="shared" ca="1" si="111"/>
        <v/>
      </c>
      <c r="AM681" t="str">
        <f t="shared" si="112"/>
        <v/>
      </c>
      <c r="AN681" s="172">
        <f t="shared" si="113"/>
        <v>0</v>
      </c>
      <c r="AO681">
        <f t="shared" si="114"/>
        <v>0</v>
      </c>
      <c r="AP681" t="str">
        <f t="shared" ca="1" si="115"/>
        <v/>
      </c>
      <c r="AQ681" t="str">
        <f t="shared" ca="1" si="116"/>
        <v/>
      </c>
    </row>
    <row r="682" spans="1:43" ht="20.100000000000001" customHeight="1">
      <c r="A682" s="11">
        <f t="shared" si="118"/>
        <v>45797</v>
      </c>
      <c r="C682" s="39"/>
      <c r="Z682" s="154" t="str">
        <f t="shared" si="119"/>
        <v/>
      </c>
      <c r="AE682" s="172">
        <f t="shared" si="117"/>
        <v>3.472222222222222E-3</v>
      </c>
      <c r="AG682" s="154" t="str">
        <f t="shared" si="120"/>
        <v/>
      </c>
      <c r="AK682" t="e">
        <f t="shared" ca="1" si="110"/>
        <v>#N/A</v>
      </c>
      <c r="AL682" t="str">
        <f t="shared" ca="1" si="111"/>
        <v/>
      </c>
      <c r="AM682" t="str">
        <f t="shared" si="112"/>
        <v/>
      </c>
      <c r="AN682" s="172">
        <f t="shared" si="113"/>
        <v>0</v>
      </c>
      <c r="AO682">
        <f t="shared" si="114"/>
        <v>0</v>
      </c>
      <c r="AP682" t="str">
        <f t="shared" ca="1" si="115"/>
        <v/>
      </c>
      <c r="AQ682" t="str">
        <f t="shared" ca="1" si="116"/>
        <v/>
      </c>
    </row>
    <row r="683" spans="1:43" ht="20.100000000000001" customHeight="1">
      <c r="A683" s="11">
        <f t="shared" si="118"/>
        <v>45797</v>
      </c>
      <c r="C683" s="39"/>
      <c r="Z683" s="154" t="str">
        <f t="shared" si="119"/>
        <v/>
      </c>
      <c r="AE683" s="172">
        <f t="shared" si="117"/>
        <v>3.472222222222222E-3</v>
      </c>
      <c r="AG683" s="154" t="str">
        <f t="shared" si="120"/>
        <v/>
      </c>
      <c r="AK683" t="e">
        <f t="shared" ca="1" si="110"/>
        <v>#N/A</v>
      </c>
      <c r="AL683" t="str">
        <f t="shared" ca="1" si="111"/>
        <v/>
      </c>
      <c r="AM683" t="str">
        <f t="shared" si="112"/>
        <v/>
      </c>
      <c r="AN683" s="172">
        <f t="shared" si="113"/>
        <v>0</v>
      </c>
      <c r="AO683">
        <f t="shared" si="114"/>
        <v>0</v>
      </c>
      <c r="AP683" t="str">
        <f t="shared" ca="1" si="115"/>
        <v/>
      </c>
      <c r="AQ683" t="str">
        <f t="shared" ca="1" si="116"/>
        <v/>
      </c>
    </row>
    <row r="684" spans="1:43" ht="20.100000000000001" customHeight="1">
      <c r="A684" s="11">
        <f t="shared" si="118"/>
        <v>45797</v>
      </c>
      <c r="C684" s="39"/>
      <c r="Z684" s="154" t="str">
        <f t="shared" si="119"/>
        <v/>
      </c>
      <c r="AE684" s="172">
        <f t="shared" si="117"/>
        <v>3.472222222222222E-3</v>
      </c>
      <c r="AG684" s="154" t="str">
        <f t="shared" si="120"/>
        <v/>
      </c>
      <c r="AK684" t="e">
        <f t="shared" ca="1" si="110"/>
        <v>#N/A</v>
      </c>
      <c r="AL684" t="str">
        <f t="shared" ca="1" si="111"/>
        <v/>
      </c>
      <c r="AM684" t="str">
        <f t="shared" si="112"/>
        <v/>
      </c>
      <c r="AN684" s="172">
        <f t="shared" si="113"/>
        <v>0</v>
      </c>
      <c r="AO684">
        <f t="shared" si="114"/>
        <v>0</v>
      </c>
      <c r="AP684" t="str">
        <f t="shared" ca="1" si="115"/>
        <v/>
      </c>
      <c r="AQ684" t="str">
        <f t="shared" ca="1" si="116"/>
        <v/>
      </c>
    </row>
    <row r="685" spans="1:43" ht="20.100000000000001" customHeight="1">
      <c r="A685" s="11">
        <f t="shared" si="118"/>
        <v>45797</v>
      </c>
      <c r="C685" s="39"/>
      <c r="Z685" s="154" t="str">
        <f t="shared" si="119"/>
        <v/>
      </c>
      <c r="AE685" s="172">
        <f t="shared" si="117"/>
        <v>3.472222222222222E-3</v>
      </c>
      <c r="AG685" s="154" t="str">
        <f t="shared" si="120"/>
        <v/>
      </c>
      <c r="AK685" t="e">
        <f t="shared" ca="1" si="110"/>
        <v>#N/A</v>
      </c>
      <c r="AL685" t="str">
        <f t="shared" ca="1" si="111"/>
        <v/>
      </c>
      <c r="AM685" t="str">
        <f t="shared" si="112"/>
        <v/>
      </c>
      <c r="AN685" s="172">
        <f t="shared" si="113"/>
        <v>0</v>
      </c>
      <c r="AO685">
        <f t="shared" si="114"/>
        <v>0</v>
      </c>
      <c r="AP685" t="str">
        <f t="shared" ca="1" si="115"/>
        <v/>
      </c>
      <c r="AQ685" t="str">
        <f t="shared" ca="1" si="116"/>
        <v/>
      </c>
    </row>
    <row r="686" spans="1:43" ht="20.100000000000001" customHeight="1">
      <c r="A686" s="11">
        <f t="shared" si="118"/>
        <v>45797</v>
      </c>
      <c r="C686" s="39"/>
      <c r="Z686" s="154" t="str">
        <f t="shared" si="119"/>
        <v/>
      </c>
      <c r="AE686" s="172">
        <f t="shared" si="117"/>
        <v>3.472222222222222E-3</v>
      </c>
      <c r="AG686" s="154" t="str">
        <f t="shared" si="120"/>
        <v/>
      </c>
      <c r="AK686" t="e">
        <f t="shared" ca="1" si="110"/>
        <v>#N/A</v>
      </c>
      <c r="AL686" t="str">
        <f t="shared" ca="1" si="111"/>
        <v/>
      </c>
      <c r="AM686" t="str">
        <f t="shared" si="112"/>
        <v/>
      </c>
      <c r="AN686" s="172">
        <f t="shared" si="113"/>
        <v>0</v>
      </c>
      <c r="AO686">
        <f t="shared" si="114"/>
        <v>0</v>
      </c>
      <c r="AP686" t="str">
        <f t="shared" ca="1" si="115"/>
        <v/>
      </c>
      <c r="AQ686" t="str">
        <f t="shared" ca="1" si="116"/>
        <v/>
      </c>
    </row>
    <row r="687" spans="1:43" ht="20.100000000000001" customHeight="1">
      <c r="A687" s="11">
        <f t="shared" si="118"/>
        <v>45797</v>
      </c>
      <c r="C687" s="39"/>
      <c r="Z687" s="154" t="str">
        <f t="shared" si="119"/>
        <v/>
      </c>
      <c r="AE687" s="172">
        <f t="shared" si="117"/>
        <v>3.472222222222222E-3</v>
      </c>
      <c r="AG687" s="154" t="str">
        <f t="shared" si="120"/>
        <v/>
      </c>
      <c r="AK687" t="e">
        <f t="shared" ca="1" si="110"/>
        <v>#N/A</v>
      </c>
      <c r="AL687" t="str">
        <f t="shared" ca="1" si="111"/>
        <v/>
      </c>
      <c r="AM687" t="str">
        <f t="shared" si="112"/>
        <v/>
      </c>
      <c r="AN687" s="172">
        <f t="shared" si="113"/>
        <v>0</v>
      </c>
      <c r="AO687">
        <f t="shared" si="114"/>
        <v>0</v>
      </c>
      <c r="AP687" t="str">
        <f t="shared" ca="1" si="115"/>
        <v/>
      </c>
      <c r="AQ687" t="str">
        <f t="shared" ca="1" si="116"/>
        <v/>
      </c>
    </row>
    <row r="688" spans="1:43" ht="20.100000000000001" customHeight="1">
      <c r="A688" s="11">
        <f t="shared" si="118"/>
        <v>45797</v>
      </c>
      <c r="C688" s="39"/>
      <c r="Z688" s="154" t="str">
        <f t="shared" si="119"/>
        <v/>
      </c>
      <c r="AE688" s="172">
        <f t="shared" si="117"/>
        <v>3.472222222222222E-3</v>
      </c>
      <c r="AG688" s="154" t="str">
        <f t="shared" si="120"/>
        <v/>
      </c>
      <c r="AK688" t="e">
        <f t="shared" ca="1" si="110"/>
        <v>#N/A</v>
      </c>
      <c r="AL688" t="str">
        <f t="shared" ca="1" si="111"/>
        <v/>
      </c>
      <c r="AM688" t="str">
        <f t="shared" si="112"/>
        <v/>
      </c>
      <c r="AN688" s="172">
        <f t="shared" si="113"/>
        <v>0</v>
      </c>
      <c r="AO688">
        <f t="shared" si="114"/>
        <v>0</v>
      </c>
      <c r="AP688" t="str">
        <f t="shared" ca="1" si="115"/>
        <v/>
      </c>
      <c r="AQ688" t="str">
        <f t="shared" ca="1" si="116"/>
        <v/>
      </c>
    </row>
    <row r="689" spans="1:43" ht="20.100000000000001" customHeight="1">
      <c r="A689" s="11">
        <f t="shared" si="118"/>
        <v>45797</v>
      </c>
      <c r="C689" s="39"/>
      <c r="Z689" s="154" t="str">
        <f t="shared" si="119"/>
        <v/>
      </c>
      <c r="AE689" s="172">
        <f t="shared" si="117"/>
        <v>3.472222222222222E-3</v>
      </c>
      <c r="AG689" s="154" t="str">
        <f t="shared" si="120"/>
        <v/>
      </c>
      <c r="AK689" t="e">
        <f t="shared" ca="1" si="110"/>
        <v>#N/A</v>
      </c>
      <c r="AL689" t="str">
        <f t="shared" ca="1" si="111"/>
        <v/>
      </c>
      <c r="AM689" t="str">
        <f t="shared" si="112"/>
        <v/>
      </c>
      <c r="AN689" s="172">
        <f t="shared" si="113"/>
        <v>0</v>
      </c>
      <c r="AO689">
        <f t="shared" si="114"/>
        <v>0</v>
      </c>
      <c r="AP689" t="str">
        <f t="shared" ca="1" si="115"/>
        <v/>
      </c>
      <c r="AQ689" t="str">
        <f t="shared" ca="1" si="116"/>
        <v/>
      </c>
    </row>
    <row r="690" spans="1:43" ht="20.100000000000001" customHeight="1">
      <c r="A690" s="11">
        <f t="shared" si="118"/>
        <v>45797</v>
      </c>
      <c r="C690" s="39"/>
      <c r="Z690" s="154" t="str">
        <f t="shared" si="119"/>
        <v/>
      </c>
      <c r="AE690" s="172">
        <f t="shared" si="117"/>
        <v>3.472222222222222E-3</v>
      </c>
      <c r="AG690" s="154" t="str">
        <f t="shared" si="120"/>
        <v/>
      </c>
      <c r="AK690" t="e">
        <f t="shared" ca="1" si="110"/>
        <v>#N/A</v>
      </c>
      <c r="AL690" t="str">
        <f t="shared" ca="1" si="111"/>
        <v/>
      </c>
      <c r="AM690" t="str">
        <f t="shared" si="112"/>
        <v/>
      </c>
      <c r="AN690" s="172">
        <f t="shared" si="113"/>
        <v>0</v>
      </c>
      <c r="AO690">
        <f t="shared" si="114"/>
        <v>0</v>
      </c>
      <c r="AP690" t="str">
        <f t="shared" ca="1" si="115"/>
        <v/>
      </c>
      <c r="AQ690" t="str">
        <f t="shared" ca="1" si="116"/>
        <v/>
      </c>
    </row>
    <row r="691" spans="1:43" ht="20.100000000000001" customHeight="1">
      <c r="A691" s="11">
        <f t="shared" si="118"/>
        <v>45797</v>
      </c>
      <c r="C691" s="39"/>
      <c r="Z691" s="154" t="str">
        <f t="shared" si="119"/>
        <v/>
      </c>
      <c r="AE691" s="172">
        <f t="shared" si="117"/>
        <v>3.472222222222222E-3</v>
      </c>
      <c r="AG691" s="154" t="str">
        <f t="shared" si="120"/>
        <v/>
      </c>
      <c r="AK691" t="e">
        <f t="shared" ca="1" si="110"/>
        <v>#N/A</v>
      </c>
      <c r="AL691" t="str">
        <f t="shared" ca="1" si="111"/>
        <v/>
      </c>
      <c r="AM691" t="str">
        <f t="shared" si="112"/>
        <v/>
      </c>
      <c r="AN691" s="172">
        <f t="shared" si="113"/>
        <v>0</v>
      </c>
      <c r="AO691">
        <f t="shared" si="114"/>
        <v>0</v>
      </c>
      <c r="AP691" t="str">
        <f t="shared" ca="1" si="115"/>
        <v/>
      </c>
      <c r="AQ691" t="str">
        <f t="shared" ca="1" si="116"/>
        <v/>
      </c>
    </row>
    <row r="692" spans="1:43" ht="20.100000000000001" customHeight="1">
      <c r="A692" s="11">
        <f t="shared" si="118"/>
        <v>45797</v>
      </c>
      <c r="C692" s="39"/>
      <c r="Z692" s="154" t="str">
        <f t="shared" si="119"/>
        <v/>
      </c>
      <c r="AE692" s="172">
        <f t="shared" si="117"/>
        <v>3.472222222222222E-3</v>
      </c>
      <c r="AG692" s="154" t="str">
        <f t="shared" si="120"/>
        <v/>
      </c>
      <c r="AK692" t="e">
        <f t="shared" ca="1" si="110"/>
        <v>#N/A</v>
      </c>
      <c r="AL692" t="str">
        <f t="shared" ca="1" si="111"/>
        <v/>
      </c>
      <c r="AM692" t="str">
        <f t="shared" si="112"/>
        <v/>
      </c>
      <c r="AN692" s="172">
        <f t="shared" si="113"/>
        <v>0</v>
      </c>
      <c r="AO692">
        <f t="shared" si="114"/>
        <v>0</v>
      </c>
      <c r="AP692" t="str">
        <f t="shared" ca="1" si="115"/>
        <v/>
      </c>
      <c r="AQ692" t="str">
        <f t="shared" ca="1" si="116"/>
        <v/>
      </c>
    </row>
    <row r="693" spans="1:43" ht="20.100000000000001" customHeight="1">
      <c r="A693" s="11">
        <f t="shared" si="118"/>
        <v>45797</v>
      </c>
      <c r="C693" s="39"/>
      <c r="Z693" s="154" t="str">
        <f t="shared" si="119"/>
        <v/>
      </c>
      <c r="AE693" s="172">
        <f t="shared" si="117"/>
        <v>3.472222222222222E-3</v>
      </c>
      <c r="AG693" s="154" t="str">
        <f t="shared" si="120"/>
        <v/>
      </c>
      <c r="AK693" t="e">
        <f t="shared" ca="1" si="110"/>
        <v>#N/A</v>
      </c>
      <c r="AL693" t="str">
        <f t="shared" ca="1" si="111"/>
        <v/>
      </c>
      <c r="AM693" t="str">
        <f t="shared" si="112"/>
        <v/>
      </c>
      <c r="AN693" s="172">
        <f t="shared" si="113"/>
        <v>0</v>
      </c>
      <c r="AO693">
        <f t="shared" si="114"/>
        <v>0</v>
      </c>
      <c r="AP693" t="str">
        <f t="shared" ca="1" si="115"/>
        <v/>
      </c>
      <c r="AQ693" t="str">
        <f t="shared" ca="1" si="116"/>
        <v/>
      </c>
    </row>
    <row r="694" spans="1:43" ht="20.100000000000001" customHeight="1">
      <c r="A694" s="11">
        <f t="shared" si="118"/>
        <v>45797</v>
      </c>
      <c r="C694" s="39"/>
      <c r="Z694" s="154" t="str">
        <f t="shared" si="119"/>
        <v/>
      </c>
      <c r="AE694" s="172">
        <f t="shared" si="117"/>
        <v>3.472222222222222E-3</v>
      </c>
      <c r="AG694" s="154" t="str">
        <f t="shared" si="120"/>
        <v/>
      </c>
      <c r="AK694" t="e">
        <f t="shared" ca="1" si="110"/>
        <v>#N/A</v>
      </c>
      <c r="AL694" t="str">
        <f t="shared" ca="1" si="111"/>
        <v/>
      </c>
      <c r="AM694" t="str">
        <f t="shared" si="112"/>
        <v/>
      </c>
      <c r="AN694" s="172">
        <f t="shared" si="113"/>
        <v>0</v>
      </c>
      <c r="AO694">
        <f t="shared" si="114"/>
        <v>0</v>
      </c>
      <c r="AP694" t="str">
        <f t="shared" ca="1" si="115"/>
        <v/>
      </c>
      <c r="AQ694" t="str">
        <f t="shared" ca="1" si="116"/>
        <v/>
      </c>
    </row>
    <row r="695" spans="1:43" ht="20.100000000000001" customHeight="1">
      <c r="A695" s="11">
        <f t="shared" si="118"/>
        <v>45797</v>
      </c>
      <c r="C695" s="39"/>
      <c r="Z695" s="154" t="str">
        <f t="shared" si="119"/>
        <v/>
      </c>
      <c r="AE695" s="172">
        <f t="shared" si="117"/>
        <v>3.472222222222222E-3</v>
      </c>
      <c r="AG695" s="154" t="str">
        <f t="shared" si="120"/>
        <v/>
      </c>
      <c r="AK695" t="e">
        <f t="shared" ref="AK695:AK758" ca="1" si="121">VLOOKUP($B695,INDIRECT($AK$4&amp;"!$Z$3:$AB$17"),3,FALSE)</f>
        <v>#N/A</v>
      </c>
      <c r="AL695" t="str">
        <f t="shared" ref="AL695:AL758" ca="1" si="122">IFERROR(AK695,"")</f>
        <v/>
      </c>
      <c r="AM695" t="str">
        <f t="shared" ref="AM695:AM758" si="123">IF(L695&lt;&gt;"",L695&amp;A695,"")</f>
        <v/>
      </c>
      <c r="AN695" s="172">
        <f t="shared" ref="AN695:AN758" si="124">AF695</f>
        <v>0</v>
      </c>
      <c r="AO695">
        <f t="shared" ref="AO695:AO758" si="125">IF(AND(L695&lt;&gt;"",O695&lt;&gt;"別ルート",O695&lt;&gt;"DS一時停止中",O695&lt;&gt;"RESCUER数時間後",O695&lt;&gt;"DSレスキュー済",O695&lt;&gt;"合流前Rescuee ",O695&lt;&gt;"合流前RESCUER",O695&lt;&gt;"DS完了",O695&lt;&gt;"Cortex Issue",V695&lt;&gt;"一時拒否",V695&lt;&gt;"終日拒否",V695&lt;&gt;"電話不通x2",V695&lt;&gt;"ー",V695&lt;&gt;"外国語",AA695&lt;&gt;"拒否",AA695&lt;&gt;"Rescueトラブル",AA695&lt;&gt;"電話不通x2",AA695&lt;&gt;"ー",AA695&lt;&gt;"外国語",AB695&lt;&gt;"拒否",AB695&lt;&gt;"電話不通x2",AB695&lt;&gt;"Rescueトラブル",AB695&lt;&gt;"外国語",AB695&lt;&gt;"ー"),1,0)</f>
        <v>0</v>
      </c>
      <c r="AP695" t="str">
        <f t="shared" ref="AP695:AP758" ca="1" si="126">IFERROR(IF(A695=TODAY(),VLOOKUP($L695,INDIRECT($AK$4&amp;"!AK:AM"),3,FALSE),""),"")</f>
        <v/>
      </c>
      <c r="AQ695" t="str">
        <f t="shared" ref="AQ695:AQ758" ca="1" si="127">IFERROR(IF(A695=TODAY(),VLOOKUP($I695,INDIRECT($AK$4&amp;"!AK:AM"),3,FALSE),""),"")</f>
        <v/>
      </c>
    </row>
    <row r="696" spans="1:43" ht="20.100000000000001" customHeight="1">
      <c r="A696" s="11">
        <f t="shared" si="118"/>
        <v>45797</v>
      </c>
      <c r="C696" s="39"/>
      <c r="Z696" s="154" t="str">
        <f t="shared" si="119"/>
        <v/>
      </c>
      <c r="AE696" s="172">
        <f t="shared" si="117"/>
        <v>3.472222222222222E-3</v>
      </c>
      <c r="AG696" s="154" t="str">
        <f t="shared" si="120"/>
        <v/>
      </c>
      <c r="AK696" t="e">
        <f t="shared" ca="1" si="121"/>
        <v>#N/A</v>
      </c>
      <c r="AL696" t="str">
        <f t="shared" ca="1" si="122"/>
        <v/>
      </c>
      <c r="AM696" t="str">
        <f t="shared" si="123"/>
        <v/>
      </c>
      <c r="AN696" s="172">
        <f t="shared" si="124"/>
        <v>0</v>
      </c>
      <c r="AO696">
        <f t="shared" si="125"/>
        <v>0</v>
      </c>
      <c r="AP696" t="str">
        <f t="shared" ca="1" si="126"/>
        <v/>
      </c>
      <c r="AQ696" t="str">
        <f t="shared" ca="1" si="127"/>
        <v/>
      </c>
    </row>
    <row r="697" spans="1:43" ht="20.100000000000001" customHeight="1">
      <c r="A697" s="11">
        <f t="shared" si="118"/>
        <v>45797</v>
      </c>
      <c r="C697" s="39"/>
      <c r="Z697" s="154" t="str">
        <f t="shared" si="119"/>
        <v/>
      </c>
      <c r="AE697" s="172">
        <f t="shared" si="117"/>
        <v>3.472222222222222E-3</v>
      </c>
      <c r="AG697" s="154" t="str">
        <f t="shared" si="120"/>
        <v/>
      </c>
      <c r="AK697" t="e">
        <f t="shared" ca="1" si="121"/>
        <v>#N/A</v>
      </c>
      <c r="AL697" t="str">
        <f t="shared" ca="1" si="122"/>
        <v/>
      </c>
      <c r="AM697" t="str">
        <f t="shared" si="123"/>
        <v/>
      </c>
      <c r="AN697" s="172">
        <f t="shared" si="124"/>
        <v>0</v>
      </c>
      <c r="AO697">
        <f t="shared" si="125"/>
        <v>0</v>
      </c>
      <c r="AP697" t="str">
        <f t="shared" ca="1" si="126"/>
        <v/>
      </c>
      <c r="AQ697" t="str">
        <f t="shared" ca="1" si="127"/>
        <v/>
      </c>
    </row>
    <row r="698" spans="1:43" ht="20.100000000000001" customHeight="1">
      <c r="A698" s="11">
        <f t="shared" si="118"/>
        <v>45797</v>
      </c>
      <c r="C698" s="39"/>
      <c r="Z698" s="154" t="str">
        <f t="shared" si="119"/>
        <v/>
      </c>
      <c r="AE698" s="172">
        <f t="shared" si="117"/>
        <v>3.472222222222222E-3</v>
      </c>
      <c r="AG698" s="154" t="str">
        <f t="shared" si="120"/>
        <v/>
      </c>
      <c r="AK698" t="e">
        <f t="shared" ca="1" si="121"/>
        <v>#N/A</v>
      </c>
      <c r="AL698" t="str">
        <f t="shared" ca="1" si="122"/>
        <v/>
      </c>
      <c r="AM698" t="str">
        <f t="shared" si="123"/>
        <v/>
      </c>
      <c r="AN698" s="172">
        <f t="shared" si="124"/>
        <v>0</v>
      </c>
      <c r="AO698">
        <f t="shared" si="125"/>
        <v>0</v>
      </c>
      <c r="AP698" t="str">
        <f t="shared" ca="1" si="126"/>
        <v/>
      </c>
      <c r="AQ698" t="str">
        <f t="shared" ca="1" si="127"/>
        <v/>
      </c>
    </row>
    <row r="699" spans="1:43" ht="20.100000000000001" customHeight="1">
      <c r="A699" s="11">
        <f t="shared" si="118"/>
        <v>45797</v>
      </c>
      <c r="C699" s="39"/>
      <c r="Z699" s="154" t="str">
        <f t="shared" si="119"/>
        <v/>
      </c>
      <c r="AE699" s="172">
        <f t="shared" si="117"/>
        <v>3.472222222222222E-3</v>
      </c>
      <c r="AG699" s="154" t="str">
        <f t="shared" si="120"/>
        <v/>
      </c>
      <c r="AK699" t="e">
        <f t="shared" ca="1" si="121"/>
        <v>#N/A</v>
      </c>
      <c r="AL699" t="str">
        <f t="shared" ca="1" si="122"/>
        <v/>
      </c>
      <c r="AM699" t="str">
        <f t="shared" si="123"/>
        <v/>
      </c>
      <c r="AN699" s="172">
        <f t="shared" si="124"/>
        <v>0</v>
      </c>
      <c r="AO699">
        <f t="shared" si="125"/>
        <v>0</v>
      </c>
      <c r="AP699" t="str">
        <f t="shared" ca="1" si="126"/>
        <v/>
      </c>
      <c r="AQ699" t="str">
        <f t="shared" ca="1" si="127"/>
        <v/>
      </c>
    </row>
    <row r="700" spans="1:43" ht="20.100000000000001" customHeight="1">
      <c r="A700" s="11">
        <f t="shared" si="118"/>
        <v>45797</v>
      </c>
      <c r="C700" s="39"/>
      <c r="Z700" s="154" t="str">
        <f t="shared" si="119"/>
        <v/>
      </c>
      <c r="AE700" s="172">
        <f t="shared" si="117"/>
        <v>3.472222222222222E-3</v>
      </c>
      <c r="AG700" s="154" t="str">
        <f t="shared" si="120"/>
        <v/>
      </c>
      <c r="AK700" t="e">
        <f t="shared" ca="1" si="121"/>
        <v>#N/A</v>
      </c>
      <c r="AL700" t="str">
        <f t="shared" ca="1" si="122"/>
        <v/>
      </c>
      <c r="AM700" t="str">
        <f t="shared" si="123"/>
        <v/>
      </c>
      <c r="AN700" s="172">
        <f t="shared" si="124"/>
        <v>0</v>
      </c>
      <c r="AO700">
        <f t="shared" si="125"/>
        <v>0</v>
      </c>
      <c r="AP700" t="str">
        <f t="shared" ca="1" si="126"/>
        <v/>
      </c>
      <c r="AQ700" t="str">
        <f t="shared" ca="1" si="127"/>
        <v/>
      </c>
    </row>
    <row r="701" spans="1:43" ht="20.100000000000001" customHeight="1">
      <c r="A701" s="11">
        <f t="shared" si="118"/>
        <v>45797</v>
      </c>
      <c r="C701" s="39"/>
      <c r="Z701" s="154" t="str">
        <f t="shared" si="119"/>
        <v/>
      </c>
      <c r="AE701" s="172">
        <f t="shared" si="117"/>
        <v>3.472222222222222E-3</v>
      </c>
      <c r="AG701" s="154" t="str">
        <f t="shared" si="120"/>
        <v/>
      </c>
      <c r="AK701" t="e">
        <f t="shared" ca="1" si="121"/>
        <v>#N/A</v>
      </c>
      <c r="AL701" t="str">
        <f t="shared" ca="1" si="122"/>
        <v/>
      </c>
      <c r="AM701" t="str">
        <f t="shared" si="123"/>
        <v/>
      </c>
      <c r="AN701" s="172">
        <f t="shared" si="124"/>
        <v>0</v>
      </c>
      <c r="AO701">
        <f t="shared" si="125"/>
        <v>0</v>
      </c>
      <c r="AP701" t="str">
        <f t="shared" ca="1" si="126"/>
        <v/>
      </c>
      <c r="AQ701" t="str">
        <f t="shared" ca="1" si="127"/>
        <v/>
      </c>
    </row>
    <row r="702" spans="1:43" ht="20.100000000000001" customHeight="1">
      <c r="A702" s="11">
        <f t="shared" si="118"/>
        <v>45797</v>
      </c>
      <c r="C702" s="39"/>
      <c r="Z702" s="154" t="str">
        <f t="shared" si="119"/>
        <v/>
      </c>
      <c r="AE702" s="172">
        <f t="shared" si="117"/>
        <v>3.472222222222222E-3</v>
      </c>
      <c r="AG702" s="154" t="str">
        <f t="shared" si="120"/>
        <v/>
      </c>
      <c r="AK702" t="e">
        <f t="shared" ca="1" si="121"/>
        <v>#N/A</v>
      </c>
      <c r="AL702" t="str">
        <f t="shared" ca="1" si="122"/>
        <v/>
      </c>
      <c r="AM702" t="str">
        <f t="shared" si="123"/>
        <v/>
      </c>
      <c r="AN702" s="172">
        <f t="shared" si="124"/>
        <v>0</v>
      </c>
      <c r="AO702">
        <f t="shared" si="125"/>
        <v>0</v>
      </c>
      <c r="AP702" t="str">
        <f t="shared" ca="1" si="126"/>
        <v/>
      </c>
      <c r="AQ702" t="str">
        <f t="shared" ca="1" si="127"/>
        <v/>
      </c>
    </row>
    <row r="703" spans="1:43" ht="20.100000000000001" customHeight="1">
      <c r="A703" s="11">
        <f t="shared" si="118"/>
        <v>45797</v>
      </c>
      <c r="C703" s="39"/>
      <c r="Z703" s="154" t="str">
        <f t="shared" si="119"/>
        <v/>
      </c>
      <c r="AE703" s="172">
        <f t="shared" si="117"/>
        <v>3.472222222222222E-3</v>
      </c>
      <c r="AG703" s="154" t="str">
        <f t="shared" si="120"/>
        <v/>
      </c>
      <c r="AK703" t="e">
        <f t="shared" ca="1" si="121"/>
        <v>#N/A</v>
      </c>
      <c r="AL703" t="str">
        <f t="shared" ca="1" si="122"/>
        <v/>
      </c>
      <c r="AM703" t="str">
        <f t="shared" si="123"/>
        <v/>
      </c>
      <c r="AN703" s="172">
        <f t="shared" si="124"/>
        <v>0</v>
      </c>
      <c r="AO703">
        <f t="shared" si="125"/>
        <v>0</v>
      </c>
      <c r="AP703" t="str">
        <f t="shared" ca="1" si="126"/>
        <v/>
      </c>
      <c r="AQ703" t="str">
        <f t="shared" ca="1" si="127"/>
        <v/>
      </c>
    </row>
    <row r="704" spans="1:43" ht="20.100000000000001" customHeight="1">
      <c r="A704" s="11">
        <f t="shared" si="118"/>
        <v>45797</v>
      </c>
      <c r="C704" s="39"/>
      <c r="Z704" s="154" t="str">
        <f t="shared" si="119"/>
        <v/>
      </c>
      <c r="AE704" s="172">
        <f t="shared" si="117"/>
        <v>3.472222222222222E-3</v>
      </c>
      <c r="AG704" s="154" t="str">
        <f t="shared" si="120"/>
        <v/>
      </c>
      <c r="AK704" t="e">
        <f t="shared" ca="1" si="121"/>
        <v>#N/A</v>
      </c>
      <c r="AL704" t="str">
        <f t="shared" ca="1" si="122"/>
        <v/>
      </c>
      <c r="AM704" t="str">
        <f t="shared" si="123"/>
        <v/>
      </c>
      <c r="AN704" s="172">
        <f t="shared" si="124"/>
        <v>0</v>
      </c>
      <c r="AO704">
        <f t="shared" si="125"/>
        <v>0</v>
      </c>
      <c r="AP704" t="str">
        <f t="shared" ca="1" si="126"/>
        <v/>
      </c>
      <c r="AQ704" t="str">
        <f t="shared" ca="1" si="127"/>
        <v/>
      </c>
    </row>
    <row r="705" spans="1:43" ht="20.100000000000001" customHeight="1">
      <c r="A705" s="11">
        <f t="shared" si="118"/>
        <v>45797</v>
      </c>
      <c r="C705" s="39"/>
      <c r="Z705" s="154" t="str">
        <f t="shared" si="119"/>
        <v/>
      </c>
      <c r="AE705" s="172">
        <f t="shared" si="117"/>
        <v>3.472222222222222E-3</v>
      </c>
      <c r="AG705" s="154" t="str">
        <f t="shared" si="120"/>
        <v/>
      </c>
      <c r="AK705" t="e">
        <f t="shared" ca="1" si="121"/>
        <v>#N/A</v>
      </c>
      <c r="AL705" t="str">
        <f t="shared" ca="1" si="122"/>
        <v/>
      </c>
      <c r="AM705" t="str">
        <f t="shared" si="123"/>
        <v/>
      </c>
      <c r="AN705" s="172">
        <f t="shared" si="124"/>
        <v>0</v>
      </c>
      <c r="AO705">
        <f t="shared" si="125"/>
        <v>0</v>
      </c>
      <c r="AP705" t="str">
        <f t="shared" ca="1" si="126"/>
        <v/>
      </c>
      <c r="AQ705" t="str">
        <f t="shared" ca="1" si="127"/>
        <v/>
      </c>
    </row>
    <row r="706" spans="1:43" ht="20.100000000000001" customHeight="1">
      <c r="A706" s="11">
        <f t="shared" si="118"/>
        <v>45797</v>
      </c>
      <c r="C706" s="39"/>
      <c r="Z706" s="154" t="str">
        <f t="shared" si="119"/>
        <v/>
      </c>
      <c r="AE706" s="172">
        <f t="shared" si="117"/>
        <v>3.472222222222222E-3</v>
      </c>
      <c r="AG706" s="154" t="str">
        <f t="shared" si="120"/>
        <v/>
      </c>
      <c r="AK706" t="e">
        <f t="shared" ca="1" si="121"/>
        <v>#N/A</v>
      </c>
      <c r="AL706" t="str">
        <f t="shared" ca="1" si="122"/>
        <v/>
      </c>
      <c r="AM706" t="str">
        <f t="shared" si="123"/>
        <v/>
      </c>
      <c r="AN706" s="172">
        <f t="shared" si="124"/>
        <v>0</v>
      </c>
      <c r="AO706">
        <f t="shared" si="125"/>
        <v>0</v>
      </c>
      <c r="AP706" t="str">
        <f t="shared" ca="1" si="126"/>
        <v/>
      </c>
      <c r="AQ706" t="str">
        <f t="shared" ca="1" si="127"/>
        <v/>
      </c>
    </row>
    <row r="707" spans="1:43" ht="20.100000000000001" customHeight="1">
      <c r="A707" s="11">
        <f t="shared" si="118"/>
        <v>45797</v>
      </c>
      <c r="C707" s="39"/>
      <c r="Z707" s="154" t="str">
        <f t="shared" si="119"/>
        <v/>
      </c>
      <c r="AE707" s="172">
        <f t="shared" si="117"/>
        <v>3.472222222222222E-3</v>
      </c>
      <c r="AG707" s="154" t="str">
        <f t="shared" si="120"/>
        <v/>
      </c>
      <c r="AK707" t="e">
        <f t="shared" ca="1" si="121"/>
        <v>#N/A</v>
      </c>
      <c r="AL707" t="str">
        <f t="shared" ca="1" si="122"/>
        <v/>
      </c>
      <c r="AM707" t="str">
        <f t="shared" si="123"/>
        <v/>
      </c>
      <c r="AN707" s="172">
        <f t="shared" si="124"/>
        <v>0</v>
      </c>
      <c r="AO707">
        <f t="shared" si="125"/>
        <v>0</v>
      </c>
      <c r="AP707" t="str">
        <f t="shared" ca="1" si="126"/>
        <v/>
      </c>
      <c r="AQ707" t="str">
        <f t="shared" ca="1" si="127"/>
        <v/>
      </c>
    </row>
    <row r="708" spans="1:43" ht="20.100000000000001" customHeight="1">
      <c r="A708" s="11">
        <f t="shared" si="118"/>
        <v>45797</v>
      </c>
      <c r="C708" s="39"/>
      <c r="Z708" s="154" t="str">
        <f t="shared" si="119"/>
        <v/>
      </c>
      <c r="AE708" s="172">
        <f t="shared" si="117"/>
        <v>3.472222222222222E-3</v>
      </c>
      <c r="AG708" s="154" t="str">
        <f t="shared" si="120"/>
        <v/>
      </c>
      <c r="AK708" t="e">
        <f t="shared" ca="1" si="121"/>
        <v>#N/A</v>
      </c>
      <c r="AL708" t="str">
        <f t="shared" ca="1" si="122"/>
        <v/>
      </c>
      <c r="AM708" t="str">
        <f t="shared" si="123"/>
        <v/>
      </c>
      <c r="AN708" s="172">
        <f t="shared" si="124"/>
        <v>0</v>
      </c>
      <c r="AO708">
        <f t="shared" si="125"/>
        <v>0</v>
      </c>
      <c r="AP708" t="str">
        <f t="shared" ca="1" si="126"/>
        <v/>
      </c>
      <c r="AQ708" t="str">
        <f t="shared" ca="1" si="127"/>
        <v/>
      </c>
    </row>
    <row r="709" spans="1:43" ht="20.100000000000001" customHeight="1">
      <c r="A709" s="11">
        <f t="shared" si="118"/>
        <v>45797</v>
      </c>
      <c r="C709" s="39"/>
      <c r="Z709" s="154" t="str">
        <f t="shared" si="119"/>
        <v/>
      </c>
      <c r="AE709" s="172">
        <f t="shared" ref="AE709:AE772" si="128">TIME(0,$K709+5,0)</f>
        <v>3.472222222222222E-3</v>
      </c>
      <c r="AG709" s="154" t="str">
        <f t="shared" si="120"/>
        <v/>
      </c>
      <c r="AK709" t="e">
        <f t="shared" ca="1" si="121"/>
        <v>#N/A</v>
      </c>
      <c r="AL709" t="str">
        <f t="shared" ca="1" si="122"/>
        <v/>
      </c>
      <c r="AM709" t="str">
        <f t="shared" si="123"/>
        <v/>
      </c>
      <c r="AN709" s="172">
        <f t="shared" si="124"/>
        <v>0</v>
      </c>
      <c r="AO709">
        <f t="shared" si="125"/>
        <v>0</v>
      </c>
      <c r="AP709" t="str">
        <f t="shared" ca="1" si="126"/>
        <v/>
      </c>
      <c r="AQ709" t="str">
        <f t="shared" ca="1" si="127"/>
        <v/>
      </c>
    </row>
    <row r="710" spans="1:43" ht="20.100000000000001" customHeight="1">
      <c r="A710" s="11">
        <f t="shared" ref="A710:A773" si="129">A709</f>
        <v>45797</v>
      </c>
      <c r="C710" s="39"/>
      <c r="Z710" s="154" t="str">
        <f t="shared" ref="Z710:Z773" si="130">IF(Y710="","",$Y710+TIME(0,5,0))</f>
        <v/>
      </c>
      <c r="AE710" s="172">
        <f t="shared" si="128"/>
        <v>3.472222222222222E-3</v>
      </c>
      <c r="AG710" s="154" t="str">
        <f t="shared" ref="AG710:AG773" si="131">IF(AF710="","",IF(D710="トラブル報告",AF710+TIME(0,45,0),SUM(AE710,AF710)))</f>
        <v/>
      </c>
      <c r="AK710" t="e">
        <f t="shared" ca="1" si="121"/>
        <v>#N/A</v>
      </c>
      <c r="AL710" t="str">
        <f t="shared" ca="1" si="122"/>
        <v/>
      </c>
      <c r="AM710" t="str">
        <f t="shared" si="123"/>
        <v/>
      </c>
      <c r="AN710" s="172">
        <f t="shared" si="124"/>
        <v>0</v>
      </c>
      <c r="AO710">
        <f t="shared" si="125"/>
        <v>0</v>
      </c>
      <c r="AP710" t="str">
        <f t="shared" ca="1" si="126"/>
        <v/>
      </c>
      <c r="AQ710" t="str">
        <f t="shared" ca="1" si="127"/>
        <v/>
      </c>
    </row>
    <row r="711" spans="1:43" ht="20.100000000000001" customHeight="1">
      <c r="A711" s="11">
        <f t="shared" si="129"/>
        <v>45797</v>
      </c>
      <c r="C711" s="39"/>
      <c r="Z711" s="154" t="str">
        <f t="shared" si="130"/>
        <v/>
      </c>
      <c r="AE711" s="172">
        <f t="shared" si="128"/>
        <v>3.472222222222222E-3</v>
      </c>
      <c r="AG711" s="154" t="str">
        <f t="shared" si="131"/>
        <v/>
      </c>
      <c r="AK711" t="e">
        <f t="shared" ca="1" si="121"/>
        <v>#N/A</v>
      </c>
      <c r="AL711" t="str">
        <f t="shared" ca="1" si="122"/>
        <v/>
      </c>
      <c r="AM711" t="str">
        <f t="shared" si="123"/>
        <v/>
      </c>
      <c r="AN711" s="172">
        <f t="shared" si="124"/>
        <v>0</v>
      </c>
      <c r="AO711">
        <f t="shared" si="125"/>
        <v>0</v>
      </c>
      <c r="AP711" t="str">
        <f t="shared" ca="1" si="126"/>
        <v/>
      </c>
      <c r="AQ711" t="str">
        <f t="shared" ca="1" si="127"/>
        <v/>
      </c>
    </row>
    <row r="712" spans="1:43" ht="20.100000000000001" customHeight="1">
      <c r="A712" s="11">
        <f t="shared" si="129"/>
        <v>45797</v>
      </c>
      <c r="C712" s="39"/>
      <c r="Z712" s="154" t="str">
        <f t="shared" si="130"/>
        <v/>
      </c>
      <c r="AE712" s="172">
        <f t="shared" si="128"/>
        <v>3.472222222222222E-3</v>
      </c>
      <c r="AG712" s="154" t="str">
        <f t="shared" si="131"/>
        <v/>
      </c>
      <c r="AK712" t="e">
        <f t="shared" ca="1" si="121"/>
        <v>#N/A</v>
      </c>
      <c r="AL712" t="str">
        <f t="shared" ca="1" si="122"/>
        <v/>
      </c>
      <c r="AM712" t="str">
        <f t="shared" si="123"/>
        <v/>
      </c>
      <c r="AN712" s="172">
        <f t="shared" si="124"/>
        <v>0</v>
      </c>
      <c r="AO712">
        <f t="shared" si="125"/>
        <v>0</v>
      </c>
      <c r="AP712" t="str">
        <f t="shared" ca="1" si="126"/>
        <v/>
      </c>
      <c r="AQ712" t="str">
        <f t="shared" ca="1" si="127"/>
        <v/>
      </c>
    </row>
    <row r="713" spans="1:43" ht="20.100000000000001" customHeight="1">
      <c r="A713" s="11">
        <f t="shared" si="129"/>
        <v>45797</v>
      </c>
      <c r="C713" s="39"/>
      <c r="Z713" s="154" t="str">
        <f t="shared" si="130"/>
        <v/>
      </c>
      <c r="AE713" s="172">
        <f t="shared" si="128"/>
        <v>3.472222222222222E-3</v>
      </c>
      <c r="AG713" s="154" t="str">
        <f t="shared" si="131"/>
        <v/>
      </c>
      <c r="AK713" t="e">
        <f t="shared" ca="1" si="121"/>
        <v>#N/A</v>
      </c>
      <c r="AL713" t="str">
        <f t="shared" ca="1" si="122"/>
        <v/>
      </c>
      <c r="AM713" t="str">
        <f t="shared" si="123"/>
        <v/>
      </c>
      <c r="AN713" s="172">
        <f t="shared" si="124"/>
        <v>0</v>
      </c>
      <c r="AO713">
        <f t="shared" si="125"/>
        <v>0</v>
      </c>
      <c r="AP713" t="str">
        <f t="shared" ca="1" si="126"/>
        <v/>
      </c>
      <c r="AQ713" t="str">
        <f t="shared" ca="1" si="127"/>
        <v/>
      </c>
    </row>
    <row r="714" spans="1:43" ht="20.100000000000001" customHeight="1">
      <c r="A714" s="11">
        <f t="shared" si="129"/>
        <v>45797</v>
      </c>
      <c r="C714" s="39"/>
      <c r="Z714" s="154" t="str">
        <f t="shared" si="130"/>
        <v/>
      </c>
      <c r="AE714" s="172">
        <f t="shared" si="128"/>
        <v>3.472222222222222E-3</v>
      </c>
      <c r="AG714" s="154" t="str">
        <f t="shared" si="131"/>
        <v/>
      </c>
      <c r="AK714" t="e">
        <f t="shared" ca="1" si="121"/>
        <v>#N/A</v>
      </c>
      <c r="AL714" t="str">
        <f t="shared" ca="1" si="122"/>
        <v/>
      </c>
      <c r="AM714" t="str">
        <f t="shared" si="123"/>
        <v/>
      </c>
      <c r="AN714" s="172">
        <f t="shared" si="124"/>
        <v>0</v>
      </c>
      <c r="AO714">
        <f t="shared" si="125"/>
        <v>0</v>
      </c>
      <c r="AP714" t="str">
        <f t="shared" ca="1" si="126"/>
        <v/>
      </c>
      <c r="AQ714" t="str">
        <f t="shared" ca="1" si="127"/>
        <v/>
      </c>
    </row>
    <row r="715" spans="1:43" ht="20.100000000000001" customHeight="1">
      <c r="A715" s="11">
        <f t="shared" si="129"/>
        <v>45797</v>
      </c>
      <c r="C715" s="39"/>
      <c r="Z715" s="154" t="str">
        <f t="shared" si="130"/>
        <v/>
      </c>
      <c r="AE715" s="172">
        <f t="shared" si="128"/>
        <v>3.472222222222222E-3</v>
      </c>
      <c r="AG715" s="154" t="str">
        <f t="shared" si="131"/>
        <v/>
      </c>
      <c r="AK715" t="e">
        <f t="shared" ca="1" si="121"/>
        <v>#N/A</v>
      </c>
      <c r="AL715" t="str">
        <f t="shared" ca="1" si="122"/>
        <v/>
      </c>
      <c r="AM715" t="str">
        <f t="shared" si="123"/>
        <v/>
      </c>
      <c r="AN715" s="172">
        <f t="shared" si="124"/>
        <v>0</v>
      </c>
      <c r="AO715">
        <f t="shared" si="125"/>
        <v>0</v>
      </c>
      <c r="AP715" t="str">
        <f t="shared" ca="1" si="126"/>
        <v/>
      </c>
      <c r="AQ715" t="str">
        <f t="shared" ca="1" si="127"/>
        <v/>
      </c>
    </row>
    <row r="716" spans="1:43" ht="20.100000000000001" customHeight="1">
      <c r="A716" s="11">
        <f t="shared" si="129"/>
        <v>45797</v>
      </c>
      <c r="C716" s="39"/>
      <c r="Z716" s="154" t="str">
        <f t="shared" si="130"/>
        <v/>
      </c>
      <c r="AE716" s="172">
        <f t="shared" si="128"/>
        <v>3.472222222222222E-3</v>
      </c>
      <c r="AG716" s="154" t="str">
        <f t="shared" si="131"/>
        <v/>
      </c>
      <c r="AK716" t="e">
        <f t="shared" ca="1" si="121"/>
        <v>#N/A</v>
      </c>
      <c r="AL716" t="str">
        <f t="shared" ca="1" si="122"/>
        <v/>
      </c>
      <c r="AM716" t="str">
        <f t="shared" si="123"/>
        <v/>
      </c>
      <c r="AN716" s="172">
        <f t="shared" si="124"/>
        <v>0</v>
      </c>
      <c r="AO716">
        <f t="shared" si="125"/>
        <v>0</v>
      </c>
      <c r="AP716" t="str">
        <f t="shared" ca="1" si="126"/>
        <v/>
      </c>
      <c r="AQ716" t="str">
        <f t="shared" ca="1" si="127"/>
        <v/>
      </c>
    </row>
    <row r="717" spans="1:43" ht="20.100000000000001" customHeight="1">
      <c r="A717" s="11">
        <f t="shared" si="129"/>
        <v>45797</v>
      </c>
      <c r="C717" s="39"/>
      <c r="Z717" s="154" t="str">
        <f t="shared" si="130"/>
        <v/>
      </c>
      <c r="AE717" s="172">
        <f t="shared" si="128"/>
        <v>3.472222222222222E-3</v>
      </c>
      <c r="AG717" s="154" t="str">
        <f t="shared" si="131"/>
        <v/>
      </c>
      <c r="AK717" t="e">
        <f t="shared" ca="1" si="121"/>
        <v>#N/A</v>
      </c>
      <c r="AL717" t="str">
        <f t="shared" ca="1" si="122"/>
        <v/>
      </c>
      <c r="AM717" t="str">
        <f t="shared" si="123"/>
        <v/>
      </c>
      <c r="AN717" s="172">
        <f t="shared" si="124"/>
        <v>0</v>
      </c>
      <c r="AO717">
        <f t="shared" si="125"/>
        <v>0</v>
      </c>
      <c r="AP717" t="str">
        <f t="shared" ca="1" si="126"/>
        <v/>
      </c>
      <c r="AQ717" t="str">
        <f t="shared" ca="1" si="127"/>
        <v/>
      </c>
    </row>
    <row r="718" spans="1:43" ht="20.100000000000001" customHeight="1">
      <c r="A718" s="11">
        <f t="shared" si="129"/>
        <v>45797</v>
      </c>
      <c r="C718" s="39"/>
      <c r="Z718" s="154" t="str">
        <f t="shared" si="130"/>
        <v/>
      </c>
      <c r="AE718" s="172">
        <f t="shared" si="128"/>
        <v>3.472222222222222E-3</v>
      </c>
      <c r="AG718" s="154" t="str">
        <f t="shared" si="131"/>
        <v/>
      </c>
      <c r="AK718" t="e">
        <f t="shared" ca="1" si="121"/>
        <v>#N/A</v>
      </c>
      <c r="AL718" t="str">
        <f t="shared" ca="1" si="122"/>
        <v/>
      </c>
      <c r="AM718" t="str">
        <f t="shared" si="123"/>
        <v/>
      </c>
      <c r="AN718" s="172">
        <f t="shared" si="124"/>
        <v>0</v>
      </c>
      <c r="AO718">
        <f t="shared" si="125"/>
        <v>0</v>
      </c>
      <c r="AP718" t="str">
        <f t="shared" ca="1" si="126"/>
        <v/>
      </c>
      <c r="AQ718" t="str">
        <f t="shared" ca="1" si="127"/>
        <v/>
      </c>
    </row>
    <row r="719" spans="1:43" ht="20.100000000000001" customHeight="1">
      <c r="A719" s="11">
        <f t="shared" si="129"/>
        <v>45797</v>
      </c>
      <c r="C719" s="39"/>
      <c r="Z719" s="154" t="str">
        <f t="shared" si="130"/>
        <v/>
      </c>
      <c r="AE719" s="172">
        <f t="shared" si="128"/>
        <v>3.472222222222222E-3</v>
      </c>
      <c r="AG719" s="154" t="str">
        <f t="shared" si="131"/>
        <v/>
      </c>
      <c r="AK719" t="e">
        <f t="shared" ca="1" si="121"/>
        <v>#N/A</v>
      </c>
      <c r="AL719" t="str">
        <f t="shared" ca="1" si="122"/>
        <v/>
      </c>
      <c r="AM719" t="str">
        <f t="shared" si="123"/>
        <v/>
      </c>
      <c r="AN719" s="172">
        <f t="shared" si="124"/>
        <v>0</v>
      </c>
      <c r="AO719">
        <f t="shared" si="125"/>
        <v>0</v>
      </c>
      <c r="AP719" t="str">
        <f t="shared" ca="1" si="126"/>
        <v/>
      </c>
      <c r="AQ719" t="str">
        <f t="shared" ca="1" si="127"/>
        <v/>
      </c>
    </row>
    <row r="720" spans="1:43" ht="20.100000000000001" customHeight="1">
      <c r="A720" s="11">
        <f t="shared" si="129"/>
        <v>45797</v>
      </c>
      <c r="C720" s="39"/>
      <c r="Z720" s="154" t="str">
        <f t="shared" si="130"/>
        <v/>
      </c>
      <c r="AE720" s="172">
        <f t="shared" si="128"/>
        <v>3.472222222222222E-3</v>
      </c>
      <c r="AG720" s="154" t="str">
        <f t="shared" si="131"/>
        <v/>
      </c>
      <c r="AK720" t="e">
        <f t="shared" ca="1" si="121"/>
        <v>#N/A</v>
      </c>
      <c r="AL720" t="str">
        <f t="shared" ca="1" si="122"/>
        <v/>
      </c>
      <c r="AM720" t="str">
        <f t="shared" si="123"/>
        <v/>
      </c>
      <c r="AN720" s="172">
        <f t="shared" si="124"/>
        <v>0</v>
      </c>
      <c r="AO720">
        <f t="shared" si="125"/>
        <v>0</v>
      </c>
      <c r="AP720" t="str">
        <f t="shared" ca="1" si="126"/>
        <v/>
      </c>
      <c r="AQ720" t="str">
        <f t="shared" ca="1" si="127"/>
        <v/>
      </c>
    </row>
    <row r="721" spans="1:43" ht="20.100000000000001" customHeight="1">
      <c r="A721" s="11">
        <f t="shared" si="129"/>
        <v>45797</v>
      </c>
      <c r="C721" s="39"/>
      <c r="Z721" s="154" t="str">
        <f t="shared" si="130"/>
        <v/>
      </c>
      <c r="AE721" s="172">
        <f t="shared" si="128"/>
        <v>3.472222222222222E-3</v>
      </c>
      <c r="AG721" s="154" t="str">
        <f t="shared" si="131"/>
        <v/>
      </c>
      <c r="AK721" t="e">
        <f t="shared" ca="1" si="121"/>
        <v>#N/A</v>
      </c>
      <c r="AL721" t="str">
        <f t="shared" ca="1" si="122"/>
        <v/>
      </c>
      <c r="AM721" t="str">
        <f t="shared" si="123"/>
        <v/>
      </c>
      <c r="AN721" s="172">
        <f t="shared" si="124"/>
        <v>0</v>
      </c>
      <c r="AO721">
        <f t="shared" si="125"/>
        <v>0</v>
      </c>
      <c r="AP721" t="str">
        <f t="shared" ca="1" si="126"/>
        <v/>
      </c>
      <c r="AQ721" t="str">
        <f t="shared" ca="1" si="127"/>
        <v/>
      </c>
    </row>
    <row r="722" spans="1:43" ht="20.100000000000001" customHeight="1">
      <c r="A722" s="11">
        <f t="shared" si="129"/>
        <v>45797</v>
      </c>
      <c r="C722" s="39"/>
      <c r="Z722" s="154" t="str">
        <f t="shared" si="130"/>
        <v/>
      </c>
      <c r="AE722" s="172">
        <f t="shared" si="128"/>
        <v>3.472222222222222E-3</v>
      </c>
      <c r="AG722" s="154" t="str">
        <f t="shared" si="131"/>
        <v/>
      </c>
      <c r="AK722" t="e">
        <f t="shared" ca="1" si="121"/>
        <v>#N/A</v>
      </c>
      <c r="AL722" t="str">
        <f t="shared" ca="1" si="122"/>
        <v/>
      </c>
      <c r="AM722" t="str">
        <f t="shared" si="123"/>
        <v/>
      </c>
      <c r="AN722" s="172">
        <f t="shared" si="124"/>
        <v>0</v>
      </c>
      <c r="AO722">
        <f t="shared" si="125"/>
        <v>0</v>
      </c>
      <c r="AP722" t="str">
        <f t="shared" ca="1" si="126"/>
        <v/>
      </c>
      <c r="AQ722" t="str">
        <f t="shared" ca="1" si="127"/>
        <v/>
      </c>
    </row>
    <row r="723" spans="1:43" ht="20.100000000000001" customHeight="1">
      <c r="A723" s="11">
        <f t="shared" si="129"/>
        <v>45797</v>
      </c>
      <c r="C723" s="39"/>
      <c r="Z723" s="154" t="str">
        <f t="shared" si="130"/>
        <v/>
      </c>
      <c r="AE723" s="172">
        <f t="shared" si="128"/>
        <v>3.472222222222222E-3</v>
      </c>
      <c r="AG723" s="154" t="str">
        <f t="shared" si="131"/>
        <v/>
      </c>
      <c r="AK723" t="e">
        <f t="shared" ca="1" si="121"/>
        <v>#N/A</v>
      </c>
      <c r="AL723" t="str">
        <f t="shared" ca="1" si="122"/>
        <v/>
      </c>
      <c r="AM723" t="str">
        <f t="shared" si="123"/>
        <v/>
      </c>
      <c r="AN723" s="172">
        <f t="shared" si="124"/>
        <v>0</v>
      </c>
      <c r="AO723">
        <f t="shared" si="125"/>
        <v>0</v>
      </c>
      <c r="AP723" t="str">
        <f t="shared" ca="1" si="126"/>
        <v/>
      </c>
      <c r="AQ723" t="str">
        <f t="shared" ca="1" si="127"/>
        <v/>
      </c>
    </row>
    <row r="724" spans="1:43" ht="20.100000000000001" customHeight="1">
      <c r="A724" s="11">
        <f t="shared" si="129"/>
        <v>45797</v>
      </c>
      <c r="C724" s="39"/>
      <c r="Z724" s="154" t="str">
        <f t="shared" si="130"/>
        <v/>
      </c>
      <c r="AE724" s="172">
        <f t="shared" si="128"/>
        <v>3.472222222222222E-3</v>
      </c>
      <c r="AG724" s="154" t="str">
        <f t="shared" si="131"/>
        <v/>
      </c>
      <c r="AK724" t="e">
        <f t="shared" ca="1" si="121"/>
        <v>#N/A</v>
      </c>
      <c r="AL724" t="str">
        <f t="shared" ca="1" si="122"/>
        <v/>
      </c>
      <c r="AM724" t="str">
        <f t="shared" si="123"/>
        <v/>
      </c>
      <c r="AN724" s="172">
        <f t="shared" si="124"/>
        <v>0</v>
      </c>
      <c r="AO724">
        <f t="shared" si="125"/>
        <v>0</v>
      </c>
      <c r="AP724" t="str">
        <f t="shared" ca="1" si="126"/>
        <v/>
      </c>
      <c r="AQ724" t="str">
        <f t="shared" ca="1" si="127"/>
        <v/>
      </c>
    </row>
    <row r="725" spans="1:43" ht="20.100000000000001" customHeight="1">
      <c r="A725" s="11">
        <f t="shared" si="129"/>
        <v>45797</v>
      </c>
      <c r="C725" s="39"/>
      <c r="Z725" s="154" t="str">
        <f t="shared" si="130"/>
        <v/>
      </c>
      <c r="AE725" s="172">
        <f t="shared" si="128"/>
        <v>3.472222222222222E-3</v>
      </c>
      <c r="AG725" s="154" t="str">
        <f t="shared" si="131"/>
        <v/>
      </c>
      <c r="AK725" t="e">
        <f t="shared" ca="1" si="121"/>
        <v>#N/A</v>
      </c>
      <c r="AL725" t="str">
        <f t="shared" ca="1" si="122"/>
        <v/>
      </c>
      <c r="AM725" t="str">
        <f t="shared" si="123"/>
        <v/>
      </c>
      <c r="AN725" s="172">
        <f t="shared" si="124"/>
        <v>0</v>
      </c>
      <c r="AO725">
        <f t="shared" si="125"/>
        <v>0</v>
      </c>
      <c r="AP725" t="str">
        <f t="shared" ca="1" si="126"/>
        <v/>
      </c>
      <c r="AQ725" t="str">
        <f t="shared" ca="1" si="127"/>
        <v/>
      </c>
    </row>
    <row r="726" spans="1:43" ht="20.100000000000001" customHeight="1">
      <c r="A726" s="11">
        <f t="shared" si="129"/>
        <v>45797</v>
      </c>
      <c r="C726" s="39"/>
      <c r="Z726" s="154" t="str">
        <f t="shared" si="130"/>
        <v/>
      </c>
      <c r="AE726" s="172">
        <f t="shared" si="128"/>
        <v>3.472222222222222E-3</v>
      </c>
      <c r="AG726" s="154" t="str">
        <f t="shared" si="131"/>
        <v/>
      </c>
      <c r="AK726" t="e">
        <f t="shared" ca="1" si="121"/>
        <v>#N/A</v>
      </c>
      <c r="AL726" t="str">
        <f t="shared" ca="1" si="122"/>
        <v/>
      </c>
      <c r="AM726" t="str">
        <f t="shared" si="123"/>
        <v/>
      </c>
      <c r="AN726" s="172">
        <f t="shared" si="124"/>
        <v>0</v>
      </c>
      <c r="AO726">
        <f t="shared" si="125"/>
        <v>0</v>
      </c>
      <c r="AP726" t="str">
        <f t="shared" ca="1" si="126"/>
        <v/>
      </c>
      <c r="AQ726" t="str">
        <f t="shared" ca="1" si="127"/>
        <v/>
      </c>
    </row>
    <row r="727" spans="1:43" ht="20.100000000000001" customHeight="1">
      <c r="A727" s="11">
        <f t="shared" si="129"/>
        <v>45797</v>
      </c>
      <c r="C727" s="39"/>
      <c r="Z727" s="154" t="str">
        <f t="shared" si="130"/>
        <v/>
      </c>
      <c r="AE727" s="172">
        <f t="shared" si="128"/>
        <v>3.472222222222222E-3</v>
      </c>
      <c r="AG727" s="154" t="str">
        <f t="shared" si="131"/>
        <v/>
      </c>
      <c r="AK727" t="e">
        <f t="shared" ca="1" si="121"/>
        <v>#N/A</v>
      </c>
      <c r="AL727" t="str">
        <f t="shared" ca="1" si="122"/>
        <v/>
      </c>
      <c r="AM727" t="str">
        <f t="shared" si="123"/>
        <v/>
      </c>
      <c r="AN727" s="172">
        <f t="shared" si="124"/>
        <v>0</v>
      </c>
      <c r="AO727">
        <f t="shared" si="125"/>
        <v>0</v>
      </c>
      <c r="AP727" t="str">
        <f t="shared" ca="1" si="126"/>
        <v/>
      </c>
      <c r="AQ727" t="str">
        <f t="shared" ca="1" si="127"/>
        <v/>
      </c>
    </row>
    <row r="728" spans="1:43" ht="20.100000000000001" customHeight="1">
      <c r="A728" s="11">
        <f t="shared" si="129"/>
        <v>45797</v>
      </c>
      <c r="C728" s="39"/>
      <c r="Z728" s="154" t="str">
        <f t="shared" si="130"/>
        <v/>
      </c>
      <c r="AE728" s="172">
        <f t="shared" si="128"/>
        <v>3.472222222222222E-3</v>
      </c>
      <c r="AG728" s="154" t="str">
        <f t="shared" si="131"/>
        <v/>
      </c>
      <c r="AK728" t="e">
        <f t="shared" ca="1" si="121"/>
        <v>#N/A</v>
      </c>
      <c r="AL728" t="str">
        <f t="shared" ca="1" si="122"/>
        <v/>
      </c>
      <c r="AM728" t="str">
        <f t="shared" si="123"/>
        <v/>
      </c>
      <c r="AN728" s="172">
        <f t="shared" si="124"/>
        <v>0</v>
      </c>
      <c r="AO728">
        <f t="shared" si="125"/>
        <v>0</v>
      </c>
      <c r="AP728" t="str">
        <f t="shared" ca="1" si="126"/>
        <v/>
      </c>
      <c r="AQ728" t="str">
        <f t="shared" ca="1" si="127"/>
        <v/>
      </c>
    </row>
    <row r="729" spans="1:43" ht="20.100000000000001" customHeight="1">
      <c r="A729" s="11">
        <f t="shared" si="129"/>
        <v>45797</v>
      </c>
      <c r="C729" s="39"/>
      <c r="Z729" s="154" t="str">
        <f t="shared" si="130"/>
        <v/>
      </c>
      <c r="AE729" s="172">
        <f t="shared" si="128"/>
        <v>3.472222222222222E-3</v>
      </c>
      <c r="AG729" s="154" t="str">
        <f t="shared" si="131"/>
        <v/>
      </c>
      <c r="AK729" t="e">
        <f t="shared" ca="1" si="121"/>
        <v>#N/A</v>
      </c>
      <c r="AL729" t="str">
        <f t="shared" ca="1" si="122"/>
        <v/>
      </c>
      <c r="AM729" t="str">
        <f t="shared" si="123"/>
        <v/>
      </c>
      <c r="AN729" s="172">
        <f t="shared" si="124"/>
        <v>0</v>
      </c>
      <c r="AO729">
        <f t="shared" si="125"/>
        <v>0</v>
      </c>
      <c r="AP729" t="str">
        <f t="shared" ca="1" si="126"/>
        <v/>
      </c>
      <c r="AQ729" t="str">
        <f t="shared" ca="1" si="127"/>
        <v/>
      </c>
    </row>
    <row r="730" spans="1:43" ht="20.100000000000001" customHeight="1">
      <c r="A730" s="11">
        <f t="shared" si="129"/>
        <v>45797</v>
      </c>
      <c r="C730" s="39"/>
      <c r="Z730" s="154" t="str">
        <f t="shared" si="130"/>
        <v/>
      </c>
      <c r="AE730" s="172">
        <f t="shared" si="128"/>
        <v>3.472222222222222E-3</v>
      </c>
      <c r="AG730" s="154" t="str">
        <f t="shared" si="131"/>
        <v/>
      </c>
      <c r="AK730" t="e">
        <f t="shared" ca="1" si="121"/>
        <v>#N/A</v>
      </c>
      <c r="AL730" t="str">
        <f t="shared" ca="1" si="122"/>
        <v/>
      </c>
      <c r="AM730" t="str">
        <f t="shared" si="123"/>
        <v/>
      </c>
      <c r="AN730" s="172">
        <f t="shared" si="124"/>
        <v>0</v>
      </c>
      <c r="AO730">
        <f t="shared" si="125"/>
        <v>0</v>
      </c>
      <c r="AP730" t="str">
        <f t="shared" ca="1" si="126"/>
        <v/>
      </c>
      <c r="AQ730" t="str">
        <f t="shared" ca="1" si="127"/>
        <v/>
      </c>
    </row>
    <row r="731" spans="1:43" ht="20.100000000000001" customHeight="1">
      <c r="A731" s="11">
        <f t="shared" si="129"/>
        <v>45797</v>
      </c>
      <c r="C731" s="39"/>
      <c r="Z731" s="154" t="str">
        <f t="shared" si="130"/>
        <v/>
      </c>
      <c r="AE731" s="172">
        <f t="shared" si="128"/>
        <v>3.472222222222222E-3</v>
      </c>
      <c r="AG731" s="154" t="str">
        <f t="shared" si="131"/>
        <v/>
      </c>
      <c r="AK731" t="e">
        <f t="shared" ca="1" si="121"/>
        <v>#N/A</v>
      </c>
      <c r="AL731" t="str">
        <f t="shared" ca="1" si="122"/>
        <v/>
      </c>
      <c r="AM731" t="str">
        <f t="shared" si="123"/>
        <v/>
      </c>
      <c r="AN731" s="172">
        <f t="shared" si="124"/>
        <v>0</v>
      </c>
      <c r="AO731">
        <f t="shared" si="125"/>
        <v>0</v>
      </c>
      <c r="AP731" t="str">
        <f t="shared" ca="1" si="126"/>
        <v/>
      </c>
      <c r="AQ731" t="str">
        <f t="shared" ca="1" si="127"/>
        <v/>
      </c>
    </row>
    <row r="732" spans="1:43" ht="20.100000000000001" customHeight="1">
      <c r="A732" s="11">
        <f t="shared" si="129"/>
        <v>45797</v>
      </c>
      <c r="C732" s="39"/>
      <c r="Z732" s="154" t="str">
        <f t="shared" si="130"/>
        <v/>
      </c>
      <c r="AE732" s="172">
        <f t="shared" si="128"/>
        <v>3.472222222222222E-3</v>
      </c>
      <c r="AG732" s="154" t="str">
        <f t="shared" si="131"/>
        <v/>
      </c>
      <c r="AK732" t="e">
        <f t="shared" ca="1" si="121"/>
        <v>#N/A</v>
      </c>
      <c r="AL732" t="str">
        <f t="shared" ca="1" si="122"/>
        <v/>
      </c>
      <c r="AM732" t="str">
        <f t="shared" si="123"/>
        <v/>
      </c>
      <c r="AN732" s="172">
        <f t="shared" si="124"/>
        <v>0</v>
      </c>
      <c r="AO732">
        <f t="shared" si="125"/>
        <v>0</v>
      </c>
      <c r="AP732" t="str">
        <f t="shared" ca="1" si="126"/>
        <v/>
      </c>
      <c r="AQ732" t="str">
        <f t="shared" ca="1" si="127"/>
        <v/>
      </c>
    </row>
    <row r="733" spans="1:43" ht="20.100000000000001" customHeight="1">
      <c r="A733" s="11">
        <f t="shared" si="129"/>
        <v>45797</v>
      </c>
      <c r="C733" s="39"/>
      <c r="Z733" s="154" t="str">
        <f t="shared" si="130"/>
        <v/>
      </c>
      <c r="AE733" s="172">
        <f t="shared" si="128"/>
        <v>3.472222222222222E-3</v>
      </c>
      <c r="AG733" s="154" t="str">
        <f t="shared" si="131"/>
        <v/>
      </c>
      <c r="AK733" t="e">
        <f t="shared" ca="1" si="121"/>
        <v>#N/A</v>
      </c>
      <c r="AL733" t="str">
        <f t="shared" ca="1" si="122"/>
        <v/>
      </c>
      <c r="AM733" t="str">
        <f t="shared" si="123"/>
        <v/>
      </c>
      <c r="AN733" s="172">
        <f t="shared" si="124"/>
        <v>0</v>
      </c>
      <c r="AO733">
        <f t="shared" si="125"/>
        <v>0</v>
      </c>
      <c r="AP733" t="str">
        <f t="shared" ca="1" si="126"/>
        <v/>
      </c>
      <c r="AQ733" t="str">
        <f t="shared" ca="1" si="127"/>
        <v/>
      </c>
    </row>
    <row r="734" spans="1:43" ht="20.100000000000001" customHeight="1">
      <c r="A734" s="11">
        <f t="shared" si="129"/>
        <v>45797</v>
      </c>
      <c r="C734" s="39"/>
      <c r="Z734" s="154" t="str">
        <f t="shared" si="130"/>
        <v/>
      </c>
      <c r="AE734" s="172">
        <f t="shared" si="128"/>
        <v>3.472222222222222E-3</v>
      </c>
      <c r="AG734" s="154" t="str">
        <f t="shared" si="131"/>
        <v/>
      </c>
      <c r="AK734" t="e">
        <f t="shared" ca="1" si="121"/>
        <v>#N/A</v>
      </c>
      <c r="AL734" t="str">
        <f t="shared" ca="1" si="122"/>
        <v/>
      </c>
      <c r="AM734" t="str">
        <f t="shared" si="123"/>
        <v/>
      </c>
      <c r="AN734" s="172">
        <f t="shared" si="124"/>
        <v>0</v>
      </c>
      <c r="AO734">
        <f t="shared" si="125"/>
        <v>0</v>
      </c>
      <c r="AP734" t="str">
        <f t="shared" ca="1" si="126"/>
        <v/>
      </c>
      <c r="AQ734" t="str">
        <f t="shared" ca="1" si="127"/>
        <v/>
      </c>
    </row>
    <row r="735" spans="1:43" ht="20.100000000000001" customHeight="1">
      <c r="A735" s="11">
        <f t="shared" si="129"/>
        <v>45797</v>
      </c>
      <c r="C735" s="39"/>
      <c r="Z735" s="154" t="str">
        <f t="shared" si="130"/>
        <v/>
      </c>
      <c r="AE735" s="172">
        <f t="shared" si="128"/>
        <v>3.472222222222222E-3</v>
      </c>
      <c r="AG735" s="154" t="str">
        <f t="shared" si="131"/>
        <v/>
      </c>
      <c r="AK735" t="e">
        <f t="shared" ca="1" si="121"/>
        <v>#N/A</v>
      </c>
      <c r="AL735" t="str">
        <f t="shared" ca="1" si="122"/>
        <v/>
      </c>
      <c r="AM735" t="str">
        <f t="shared" si="123"/>
        <v/>
      </c>
      <c r="AN735" s="172">
        <f t="shared" si="124"/>
        <v>0</v>
      </c>
      <c r="AO735">
        <f t="shared" si="125"/>
        <v>0</v>
      </c>
      <c r="AP735" t="str">
        <f t="shared" ca="1" si="126"/>
        <v/>
      </c>
      <c r="AQ735" t="str">
        <f t="shared" ca="1" si="127"/>
        <v/>
      </c>
    </row>
    <row r="736" spans="1:43" ht="20.100000000000001" customHeight="1">
      <c r="A736" s="11">
        <f t="shared" si="129"/>
        <v>45797</v>
      </c>
      <c r="C736" s="39"/>
      <c r="Z736" s="154" t="str">
        <f t="shared" si="130"/>
        <v/>
      </c>
      <c r="AE736" s="172">
        <f t="shared" si="128"/>
        <v>3.472222222222222E-3</v>
      </c>
      <c r="AG736" s="154" t="str">
        <f t="shared" si="131"/>
        <v/>
      </c>
      <c r="AK736" t="e">
        <f t="shared" ca="1" si="121"/>
        <v>#N/A</v>
      </c>
      <c r="AL736" t="str">
        <f t="shared" ca="1" si="122"/>
        <v/>
      </c>
      <c r="AM736" t="str">
        <f t="shared" si="123"/>
        <v/>
      </c>
      <c r="AN736" s="172">
        <f t="shared" si="124"/>
        <v>0</v>
      </c>
      <c r="AO736">
        <f t="shared" si="125"/>
        <v>0</v>
      </c>
      <c r="AP736" t="str">
        <f t="shared" ca="1" si="126"/>
        <v/>
      </c>
      <c r="AQ736" t="str">
        <f t="shared" ca="1" si="127"/>
        <v/>
      </c>
    </row>
    <row r="737" spans="1:43" ht="20.100000000000001" customHeight="1">
      <c r="A737" s="11">
        <f t="shared" si="129"/>
        <v>45797</v>
      </c>
      <c r="C737" s="39"/>
      <c r="Z737" s="154" t="str">
        <f t="shared" si="130"/>
        <v/>
      </c>
      <c r="AE737" s="172">
        <f t="shared" si="128"/>
        <v>3.472222222222222E-3</v>
      </c>
      <c r="AG737" s="154" t="str">
        <f t="shared" si="131"/>
        <v/>
      </c>
      <c r="AK737" t="e">
        <f t="shared" ca="1" si="121"/>
        <v>#N/A</v>
      </c>
      <c r="AL737" t="str">
        <f t="shared" ca="1" si="122"/>
        <v/>
      </c>
      <c r="AM737" t="str">
        <f t="shared" si="123"/>
        <v/>
      </c>
      <c r="AN737" s="172">
        <f t="shared" si="124"/>
        <v>0</v>
      </c>
      <c r="AO737">
        <f t="shared" si="125"/>
        <v>0</v>
      </c>
      <c r="AP737" t="str">
        <f t="shared" ca="1" si="126"/>
        <v/>
      </c>
      <c r="AQ737" t="str">
        <f t="shared" ca="1" si="127"/>
        <v/>
      </c>
    </row>
    <row r="738" spans="1:43" ht="20.100000000000001" customHeight="1">
      <c r="A738" s="11">
        <f t="shared" si="129"/>
        <v>45797</v>
      </c>
      <c r="C738" s="39"/>
      <c r="Z738" s="154" t="str">
        <f t="shared" si="130"/>
        <v/>
      </c>
      <c r="AE738" s="172">
        <f t="shared" si="128"/>
        <v>3.472222222222222E-3</v>
      </c>
      <c r="AG738" s="154" t="str">
        <f t="shared" si="131"/>
        <v/>
      </c>
      <c r="AK738" t="e">
        <f t="shared" ca="1" si="121"/>
        <v>#N/A</v>
      </c>
      <c r="AL738" t="str">
        <f t="shared" ca="1" si="122"/>
        <v/>
      </c>
      <c r="AM738" t="str">
        <f t="shared" si="123"/>
        <v/>
      </c>
      <c r="AN738" s="172">
        <f t="shared" si="124"/>
        <v>0</v>
      </c>
      <c r="AO738">
        <f t="shared" si="125"/>
        <v>0</v>
      </c>
      <c r="AP738" t="str">
        <f t="shared" ca="1" si="126"/>
        <v/>
      </c>
      <c r="AQ738" t="str">
        <f t="shared" ca="1" si="127"/>
        <v/>
      </c>
    </row>
    <row r="739" spans="1:43" ht="20.100000000000001" customHeight="1">
      <c r="A739" s="11">
        <f t="shared" si="129"/>
        <v>45797</v>
      </c>
      <c r="C739" s="39"/>
      <c r="Z739" s="154" t="str">
        <f t="shared" si="130"/>
        <v/>
      </c>
      <c r="AE739" s="172">
        <f t="shared" si="128"/>
        <v>3.472222222222222E-3</v>
      </c>
      <c r="AG739" s="154" t="str">
        <f t="shared" si="131"/>
        <v/>
      </c>
      <c r="AK739" t="e">
        <f t="shared" ca="1" si="121"/>
        <v>#N/A</v>
      </c>
      <c r="AL739" t="str">
        <f t="shared" ca="1" si="122"/>
        <v/>
      </c>
      <c r="AM739" t="str">
        <f t="shared" si="123"/>
        <v/>
      </c>
      <c r="AN739" s="172">
        <f t="shared" si="124"/>
        <v>0</v>
      </c>
      <c r="AO739">
        <f t="shared" si="125"/>
        <v>0</v>
      </c>
      <c r="AP739" t="str">
        <f t="shared" ca="1" si="126"/>
        <v/>
      </c>
      <c r="AQ739" t="str">
        <f t="shared" ca="1" si="127"/>
        <v/>
      </c>
    </row>
    <row r="740" spans="1:43" ht="20.100000000000001" customHeight="1">
      <c r="A740" s="11">
        <f t="shared" si="129"/>
        <v>45797</v>
      </c>
      <c r="C740" s="39"/>
      <c r="Z740" s="154" t="str">
        <f t="shared" si="130"/>
        <v/>
      </c>
      <c r="AE740" s="172">
        <f t="shared" si="128"/>
        <v>3.472222222222222E-3</v>
      </c>
      <c r="AG740" s="154" t="str">
        <f t="shared" si="131"/>
        <v/>
      </c>
      <c r="AK740" t="e">
        <f t="shared" ca="1" si="121"/>
        <v>#N/A</v>
      </c>
      <c r="AL740" t="str">
        <f t="shared" ca="1" si="122"/>
        <v/>
      </c>
      <c r="AM740" t="str">
        <f t="shared" si="123"/>
        <v/>
      </c>
      <c r="AN740" s="172">
        <f t="shared" si="124"/>
        <v>0</v>
      </c>
      <c r="AO740">
        <f t="shared" si="125"/>
        <v>0</v>
      </c>
      <c r="AP740" t="str">
        <f t="shared" ca="1" si="126"/>
        <v/>
      </c>
      <c r="AQ740" t="str">
        <f t="shared" ca="1" si="127"/>
        <v/>
      </c>
    </row>
    <row r="741" spans="1:43" ht="20.100000000000001" customHeight="1">
      <c r="A741" s="11">
        <f t="shared" si="129"/>
        <v>45797</v>
      </c>
      <c r="C741" s="39"/>
      <c r="Z741" s="154" t="str">
        <f t="shared" si="130"/>
        <v/>
      </c>
      <c r="AE741" s="172">
        <f t="shared" si="128"/>
        <v>3.472222222222222E-3</v>
      </c>
      <c r="AG741" s="154" t="str">
        <f t="shared" si="131"/>
        <v/>
      </c>
      <c r="AK741" t="e">
        <f t="shared" ca="1" si="121"/>
        <v>#N/A</v>
      </c>
      <c r="AL741" t="str">
        <f t="shared" ca="1" si="122"/>
        <v/>
      </c>
      <c r="AM741" t="str">
        <f t="shared" si="123"/>
        <v/>
      </c>
      <c r="AN741" s="172">
        <f t="shared" si="124"/>
        <v>0</v>
      </c>
      <c r="AO741">
        <f t="shared" si="125"/>
        <v>0</v>
      </c>
      <c r="AP741" t="str">
        <f t="shared" ca="1" si="126"/>
        <v/>
      </c>
      <c r="AQ741" t="str">
        <f t="shared" ca="1" si="127"/>
        <v/>
      </c>
    </row>
    <row r="742" spans="1:43" ht="20.100000000000001" customHeight="1">
      <c r="A742" s="11">
        <f t="shared" si="129"/>
        <v>45797</v>
      </c>
      <c r="C742" s="39"/>
      <c r="Z742" s="154" t="str">
        <f t="shared" si="130"/>
        <v/>
      </c>
      <c r="AE742" s="172">
        <f t="shared" si="128"/>
        <v>3.472222222222222E-3</v>
      </c>
      <c r="AG742" s="154" t="str">
        <f t="shared" si="131"/>
        <v/>
      </c>
      <c r="AK742" t="e">
        <f t="shared" ca="1" si="121"/>
        <v>#N/A</v>
      </c>
      <c r="AL742" t="str">
        <f t="shared" ca="1" si="122"/>
        <v/>
      </c>
      <c r="AM742" t="str">
        <f t="shared" si="123"/>
        <v/>
      </c>
      <c r="AN742" s="172">
        <f t="shared" si="124"/>
        <v>0</v>
      </c>
      <c r="AO742">
        <f t="shared" si="125"/>
        <v>0</v>
      </c>
      <c r="AP742" t="str">
        <f t="shared" ca="1" si="126"/>
        <v/>
      </c>
      <c r="AQ742" t="str">
        <f t="shared" ca="1" si="127"/>
        <v/>
      </c>
    </row>
    <row r="743" spans="1:43" ht="20.100000000000001" customHeight="1">
      <c r="A743" s="11">
        <f t="shared" si="129"/>
        <v>45797</v>
      </c>
      <c r="C743" s="39"/>
      <c r="Z743" s="154" t="str">
        <f t="shared" si="130"/>
        <v/>
      </c>
      <c r="AE743" s="172">
        <f t="shared" si="128"/>
        <v>3.472222222222222E-3</v>
      </c>
      <c r="AG743" s="154" t="str">
        <f t="shared" si="131"/>
        <v/>
      </c>
      <c r="AK743" t="e">
        <f t="shared" ca="1" si="121"/>
        <v>#N/A</v>
      </c>
      <c r="AL743" t="str">
        <f t="shared" ca="1" si="122"/>
        <v/>
      </c>
      <c r="AM743" t="str">
        <f t="shared" si="123"/>
        <v/>
      </c>
      <c r="AN743" s="172">
        <f t="shared" si="124"/>
        <v>0</v>
      </c>
      <c r="AO743">
        <f t="shared" si="125"/>
        <v>0</v>
      </c>
      <c r="AP743" t="str">
        <f t="shared" ca="1" si="126"/>
        <v/>
      </c>
      <c r="AQ743" t="str">
        <f t="shared" ca="1" si="127"/>
        <v/>
      </c>
    </row>
    <row r="744" spans="1:43" ht="20.100000000000001" customHeight="1">
      <c r="A744" s="11">
        <f t="shared" si="129"/>
        <v>45797</v>
      </c>
      <c r="C744" s="39"/>
      <c r="Z744" s="154" t="str">
        <f t="shared" si="130"/>
        <v/>
      </c>
      <c r="AE744" s="172">
        <f t="shared" si="128"/>
        <v>3.472222222222222E-3</v>
      </c>
      <c r="AG744" s="154" t="str">
        <f t="shared" si="131"/>
        <v/>
      </c>
      <c r="AK744" t="e">
        <f t="shared" ca="1" si="121"/>
        <v>#N/A</v>
      </c>
      <c r="AL744" t="str">
        <f t="shared" ca="1" si="122"/>
        <v/>
      </c>
      <c r="AM744" t="str">
        <f t="shared" si="123"/>
        <v/>
      </c>
      <c r="AN744" s="172">
        <f t="shared" si="124"/>
        <v>0</v>
      </c>
      <c r="AO744">
        <f t="shared" si="125"/>
        <v>0</v>
      </c>
      <c r="AP744" t="str">
        <f t="shared" ca="1" si="126"/>
        <v/>
      </c>
      <c r="AQ744" t="str">
        <f t="shared" ca="1" si="127"/>
        <v/>
      </c>
    </row>
    <row r="745" spans="1:43" ht="20.100000000000001" customHeight="1">
      <c r="A745" s="11">
        <f t="shared" si="129"/>
        <v>45797</v>
      </c>
      <c r="C745" s="39"/>
      <c r="Z745" s="154" t="str">
        <f t="shared" si="130"/>
        <v/>
      </c>
      <c r="AE745" s="172">
        <f t="shared" si="128"/>
        <v>3.472222222222222E-3</v>
      </c>
      <c r="AG745" s="154" t="str">
        <f t="shared" si="131"/>
        <v/>
      </c>
      <c r="AK745" t="e">
        <f t="shared" ca="1" si="121"/>
        <v>#N/A</v>
      </c>
      <c r="AL745" t="str">
        <f t="shared" ca="1" si="122"/>
        <v/>
      </c>
      <c r="AM745" t="str">
        <f t="shared" si="123"/>
        <v/>
      </c>
      <c r="AN745" s="172">
        <f t="shared" si="124"/>
        <v>0</v>
      </c>
      <c r="AO745">
        <f t="shared" si="125"/>
        <v>0</v>
      </c>
      <c r="AP745" t="str">
        <f t="shared" ca="1" si="126"/>
        <v/>
      </c>
      <c r="AQ745" t="str">
        <f t="shared" ca="1" si="127"/>
        <v/>
      </c>
    </row>
    <row r="746" spans="1:43" ht="20.100000000000001" customHeight="1">
      <c r="A746" s="11">
        <f t="shared" si="129"/>
        <v>45797</v>
      </c>
      <c r="C746" s="39"/>
      <c r="Z746" s="154" t="str">
        <f t="shared" si="130"/>
        <v/>
      </c>
      <c r="AE746" s="172">
        <f t="shared" si="128"/>
        <v>3.472222222222222E-3</v>
      </c>
      <c r="AG746" s="154" t="str">
        <f t="shared" si="131"/>
        <v/>
      </c>
      <c r="AK746" t="e">
        <f t="shared" ca="1" si="121"/>
        <v>#N/A</v>
      </c>
      <c r="AL746" t="str">
        <f t="shared" ca="1" si="122"/>
        <v/>
      </c>
      <c r="AM746" t="str">
        <f t="shared" si="123"/>
        <v/>
      </c>
      <c r="AN746" s="172">
        <f t="shared" si="124"/>
        <v>0</v>
      </c>
      <c r="AO746">
        <f t="shared" si="125"/>
        <v>0</v>
      </c>
      <c r="AP746" t="str">
        <f t="shared" ca="1" si="126"/>
        <v/>
      </c>
      <c r="AQ746" t="str">
        <f t="shared" ca="1" si="127"/>
        <v/>
      </c>
    </row>
    <row r="747" spans="1:43" ht="20.100000000000001" customHeight="1">
      <c r="A747" s="11">
        <f t="shared" si="129"/>
        <v>45797</v>
      </c>
      <c r="C747" s="39"/>
      <c r="Z747" s="154" t="str">
        <f t="shared" si="130"/>
        <v/>
      </c>
      <c r="AE747" s="172">
        <f t="shared" si="128"/>
        <v>3.472222222222222E-3</v>
      </c>
      <c r="AG747" s="154" t="str">
        <f t="shared" si="131"/>
        <v/>
      </c>
      <c r="AK747" t="e">
        <f t="shared" ca="1" si="121"/>
        <v>#N/A</v>
      </c>
      <c r="AL747" t="str">
        <f t="shared" ca="1" si="122"/>
        <v/>
      </c>
      <c r="AM747" t="str">
        <f t="shared" si="123"/>
        <v/>
      </c>
      <c r="AN747" s="172">
        <f t="shared" si="124"/>
        <v>0</v>
      </c>
      <c r="AO747">
        <f t="shared" si="125"/>
        <v>0</v>
      </c>
      <c r="AP747" t="str">
        <f t="shared" ca="1" si="126"/>
        <v/>
      </c>
      <c r="AQ747" t="str">
        <f t="shared" ca="1" si="127"/>
        <v/>
      </c>
    </row>
    <row r="748" spans="1:43" ht="20.100000000000001" customHeight="1">
      <c r="A748" s="11">
        <f t="shared" si="129"/>
        <v>45797</v>
      </c>
      <c r="C748" s="39"/>
      <c r="Z748" s="154" t="str">
        <f t="shared" si="130"/>
        <v/>
      </c>
      <c r="AE748" s="172">
        <f t="shared" si="128"/>
        <v>3.472222222222222E-3</v>
      </c>
      <c r="AG748" s="154" t="str">
        <f t="shared" si="131"/>
        <v/>
      </c>
      <c r="AK748" t="e">
        <f t="shared" ca="1" si="121"/>
        <v>#N/A</v>
      </c>
      <c r="AL748" t="str">
        <f t="shared" ca="1" si="122"/>
        <v/>
      </c>
      <c r="AM748" t="str">
        <f t="shared" si="123"/>
        <v/>
      </c>
      <c r="AN748" s="172">
        <f t="shared" si="124"/>
        <v>0</v>
      </c>
      <c r="AO748">
        <f t="shared" si="125"/>
        <v>0</v>
      </c>
      <c r="AP748" t="str">
        <f t="shared" ca="1" si="126"/>
        <v/>
      </c>
      <c r="AQ748" t="str">
        <f t="shared" ca="1" si="127"/>
        <v/>
      </c>
    </row>
    <row r="749" spans="1:43" ht="20.100000000000001" customHeight="1">
      <c r="A749" s="11">
        <f t="shared" si="129"/>
        <v>45797</v>
      </c>
      <c r="C749" s="39"/>
      <c r="Z749" s="154" t="str">
        <f t="shared" si="130"/>
        <v/>
      </c>
      <c r="AE749" s="172">
        <f t="shared" si="128"/>
        <v>3.472222222222222E-3</v>
      </c>
      <c r="AG749" s="154" t="str">
        <f t="shared" si="131"/>
        <v/>
      </c>
      <c r="AK749" t="e">
        <f t="shared" ca="1" si="121"/>
        <v>#N/A</v>
      </c>
      <c r="AL749" t="str">
        <f t="shared" ca="1" si="122"/>
        <v/>
      </c>
      <c r="AM749" t="str">
        <f t="shared" si="123"/>
        <v/>
      </c>
      <c r="AN749" s="172">
        <f t="shared" si="124"/>
        <v>0</v>
      </c>
      <c r="AO749">
        <f t="shared" si="125"/>
        <v>0</v>
      </c>
      <c r="AP749" t="str">
        <f t="shared" ca="1" si="126"/>
        <v/>
      </c>
      <c r="AQ749" t="str">
        <f t="shared" ca="1" si="127"/>
        <v/>
      </c>
    </row>
    <row r="750" spans="1:43" ht="20.100000000000001" customHeight="1">
      <c r="A750" s="11">
        <f t="shared" si="129"/>
        <v>45797</v>
      </c>
      <c r="C750" s="39"/>
      <c r="Z750" s="154" t="str">
        <f t="shared" si="130"/>
        <v/>
      </c>
      <c r="AE750" s="172">
        <f t="shared" si="128"/>
        <v>3.472222222222222E-3</v>
      </c>
      <c r="AG750" s="154" t="str">
        <f t="shared" si="131"/>
        <v/>
      </c>
      <c r="AK750" t="e">
        <f t="shared" ca="1" si="121"/>
        <v>#N/A</v>
      </c>
      <c r="AL750" t="str">
        <f t="shared" ca="1" si="122"/>
        <v/>
      </c>
      <c r="AM750" t="str">
        <f t="shared" si="123"/>
        <v/>
      </c>
      <c r="AN750" s="172">
        <f t="shared" si="124"/>
        <v>0</v>
      </c>
      <c r="AO750">
        <f t="shared" si="125"/>
        <v>0</v>
      </c>
      <c r="AP750" t="str">
        <f t="shared" ca="1" si="126"/>
        <v/>
      </c>
      <c r="AQ750" t="str">
        <f t="shared" ca="1" si="127"/>
        <v/>
      </c>
    </row>
    <row r="751" spans="1:43" ht="20.100000000000001" customHeight="1">
      <c r="A751" s="11">
        <f t="shared" si="129"/>
        <v>45797</v>
      </c>
      <c r="C751" s="39"/>
      <c r="Z751" s="154" t="str">
        <f t="shared" si="130"/>
        <v/>
      </c>
      <c r="AE751" s="172">
        <f t="shared" si="128"/>
        <v>3.472222222222222E-3</v>
      </c>
      <c r="AG751" s="154" t="str">
        <f t="shared" si="131"/>
        <v/>
      </c>
      <c r="AK751" t="e">
        <f t="shared" ca="1" si="121"/>
        <v>#N/A</v>
      </c>
      <c r="AL751" t="str">
        <f t="shared" ca="1" si="122"/>
        <v/>
      </c>
      <c r="AM751" t="str">
        <f t="shared" si="123"/>
        <v/>
      </c>
      <c r="AN751" s="172">
        <f t="shared" si="124"/>
        <v>0</v>
      </c>
      <c r="AO751">
        <f t="shared" si="125"/>
        <v>0</v>
      </c>
      <c r="AP751" t="str">
        <f t="shared" ca="1" si="126"/>
        <v/>
      </c>
      <c r="AQ751" t="str">
        <f t="shared" ca="1" si="127"/>
        <v/>
      </c>
    </row>
    <row r="752" spans="1:43" ht="20.100000000000001" customHeight="1">
      <c r="A752" s="11">
        <f t="shared" si="129"/>
        <v>45797</v>
      </c>
      <c r="C752" s="39"/>
      <c r="Z752" s="154" t="str">
        <f t="shared" si="130"/>
        <v/>
      </c>
      <c r="AE752" s="172">
        <f t="shared" si="128"/>
        <v>3.472222222222222E-3</v>
      </c>
      <c r="AG752" s="154" t="str">
        <f t="shared" si="131"/>
        <v/>
      </c>
      <c r="AK752" t="e">
        <f t="shared" ca="1" si="121"/>
        <v>#N/A</v>
      </c>
      <c r="AL752" t="str">
        <f t="shared" ca="1" si="122"/>
        <v/>
      </c>
      <c r="AM752" t="str">
        <f t="shared" si="123"/>
        <v/>
      </c>
      <c r="AN752" s="172">
        <f t="shared" si="124"/>
        <v>0</v>
      </c>
      <c r="AO752">
        <f t="shared" si="125"/>
        <v>0</v>
      </c>
      <c r="AP752" t="str">
        <f t="shared" ca="1" si="126"/>
        <v/>
      </c>
      <c r="AQ752" t="str">
        <f t="shared" ca="1" si="127"/>
        <v/>
      </c>
    </row>
    <row r="753" spans="1:43" ht="20.100000000000001" customHeight="1">
      <c r="A753" s="11">
        <f t="shared" si="129"/>
        <v>45797</v>
      </c>
      <c r="C753" s="39"/>
      <c r="Z753" s="154" t="str">
        <f t="shared" si="130"/>
        <v/>
      </c>
      <c r="AE753" s="172">
        <f t="shared" si="128"/>
        <v>3.472222222222222E-3</v>
      </c>
      <c r="AG753" s="154" t="str">
        <f t="shared" si="131"/>
        <v/>
      </c>
      <c r="AK753" t="e">
        <f t="shared" ca="1" si="121"/>
        <v>#N/A</v>
      </c>
      <c r="AL753" t="str">
        <f t="shared" ca="1" si="122"/>
        <v/>
      </c>
      <c r="AM753" t="str">
        <f t="shared" si="123"/>
        <v/>
      </c>
      <c r="AN753" s="172">
        <f t="shared" si="124"/>
        <v>0</v>
      </c>
      <c r="AO753">
        <f t="shared" si="125"/>
        <v>0</v>
      </c>
      <c r="AP753" t="str">
        <f t="shared" ca="1" si="126"/>
        <v/>
      </c>
      <c r="AQ753" t="str">
        <f t="shared" ca="1" si="127"/>
        <v/>
      </c>
    </row>
    <row r="754" spans="1:43" ht="20.100000000000001" customHeight="1">
      <c r="A754" s="11">
        <f t="shared" si="129"/>
        <v>45797</v>
      </c>
      <c r="C754" s="39"/>
      <c r="Z754" s="154" t="str">
        <f t="shared" si="130"/>
        <v/>
      </c>
      <c r="AE754" s="172">
        <f t="shared" si="128"/>
        <v>3.472222222222222E-3</v>
      </c>
      <c r="AG754" s="154" t="str">
        <f t="shared" si="131"/>
        <v/>
      </c>
      <c r="AK754" t="e">
        <f t="shared" ca="1" si="121"/>
        <v>#N/A</v>
      </c>
      <c r="AL754" t="str">
        <f t="shared" ca="1" si="122"/>
        <v/>
      </c>
      <c r="AM754" t="str">
        <f t="shared" si="123"/>
        <v/>
      </c>
      <c r="AN754" s="172">
        <f t="shared" si="124"/>
        <v>0</v>
      </c>
      <c r="AO754">
        <f t="shared" si="125"/>
        <v>0</v>
      </c>
      <c r="AP754" t="str">
        <f t="shared" ca="1" si="126"/>
        <v/>
      </c>
      <c r="AQ754" t="str">
        <f t="shared" ca="1" si="127"/>
        <v/>
      </c>
    </row>
    <row r="755" spans="1:43" ht="20.100000000000001" customHeight="1">
      <c r="A755" s="11">
        <f t="shared" si="129"/>
        <v>45797</v>
      </c>
      <c r="C755" s="39"/>
      <c r="Z755" s="154" t="str">
        <f t="shared" si="130"/>
        <v/>
      </c>
      <c r="AE755" s="172">
        <f t="shared" si="128"/>
        <v>3.472222222222222E-3</v>
      </c>
      <c r="AG755" s="154" t="str">
        <f t="shared" si="131"/>
        <v/>
      </c>
      <c r="AK755" t="e">
        <f t="shared" ca="1" si="121"/>
        <v>#N/A</v>
      </c>
      <c r="AL755" t="str">
        <f t="shared" ca="1" si="122"/>
        <v/>
      </c>
      <c r="AM755" t="str">
        <f t="shared" si="123"/>
        <v/>
      </c>
      <c r="AN755" s="172">
        <f t="shared" si="124"/>
        <v>0</v>
      </c>
      <c r="AO755">
        <f t="shared" si="125"/>
        <v>0</v>
      </c>
      <c r="AP755" t="str">
        <f t="shared" ca="1" si="126"/>
        <v/>
      </c>
      <c r="AQ755" t="str">
        <f t="shared" ca="1" si="127"/>
        <v/>
      </c>
    </row>
    <row r="756" spans="1:43" ht="20.100000000000001" customHeight="1">
      <c r="A756" s="11">
        <f t="shared" si="129"/>
        <v>45797</v>
      </c>
      <c r="C756" s="39"/>
      <c r="Z756" s="154" t="str">
        <f t="shared" si="130"/>
        <v/>
      </c>
      <c r="AE756" s="172">
        <f t="shared" si="128"/>
        <v>3.472222222222222E-3</v>
      </c>
      <c r="AG756" s="154" t="str">
        <f t="shared" si="131"/>
        <v/>
      </c>
      <c r="AK756" t="e">
        <f t="shared" ca="1" si="121"/>
        <v>#N/A</v>
      </c>
      <c r="AL756" t="str">
        <f t="shared" ca="1" si="122"/>
        <v/>
      </c>
      <c r="AM756" t="str">
        <f t="shared" si="123"/>
        <v/>
      </c>
      <c r="AN756" s="172">
        <f t="shared" si="124"/>
        <v>0</v>
      </c>
      <c r="AO756">
        <f t="shared" si="125"/>
        <v>0</v>
      </c>
      <c r="AP756" t="str">
        <f t="shared" ca="1" si="126"/>
        <v/>
      </c>
      <c r="AQ756" t="str">
        <f t="shared" ca="1" si="127"/>
        <v/>
      </c>
    </row>
    <row r="757" spans="1:43" ht="20.100000000000001" customHeight="1">
      <c r="A757" s="11">
        <f t="shared" si="129"/>
        <v>45797</v>
      </c>
      <c r="C757" s="39"/>
      <c r="Z757" s="154" t="str">
        <f t="shared" si="130"/>
        <v/>
      </c>
      <c r="AE757" s="172">
        <f t="shared" si="128"/>
        <v>3.472222222222222E-3</v>
      </c>
      <c r="AG757" s="154" t="str">
        <f t="shared" si="131"/>
        <v/>
      </c>
      <c r="AK757" t="e">
        <f t="shared" ca="1" si="121"/>
        <v>#N/A</v>
      </c>
      <c r="AL757" t="str">
        <f t="shared" ca="1" si="122"/>
        <v/>
      </c>
      <c r="AM757" t="str">
        <f t="shared" si="123"/>
        <v/>
      </c>
      <c r="AN757" s="172">
        <f t="shared" si="124"/>
        <v>0</v>
      </c>
      <c r="AO757">
        <f t="shared" si="125"/>
        <v>0</v>
      </c>
      <c r="AP757" t="str">
        <f t="shared" ca="1" si="126"/>
        <v/>
      </c>
      <c r="AQ757" t="str">
        <f t="shared" ca="1" si="127"/>
        <v/>
      </c>
    </row>
    <row r="758" spans="1:43" ht="20.100000000000001" customHeight="1">
      <c r="A758" s="11">
        <f t="shared" si="129"/>
        <v>45797</v>
      </c>
      <c r="C758" s="39"/>
      <c r="Z758" s="154" t="str">
        <f t="shared" si="130"/>
        <v/>
      </c>
      <c r="AE758" s="172">
        <f t="shared" si="128"/>
        <v>3.472222222222222E-3</v>
      </c>
      <c r="AG758" s="154" t="str">
        <f t="shared" si="131"/>
        <v/>
      </c>
      <c r="AK758" t="e">
        <f t="shared" ca="1" si="121"/>
        <v>#N/A</v>
      </c>
      <c r="AL758" t="str">
        <f t="shared" ca="1" si="122"/>
        <v/>
      </c>
      <c r="AM758" t="str">
        <f t="shared" si="123"/>
        <v/>
      </c>
      <c r="AN758" s="172">
        <f t="shared" si="124"/>
        <v>0</v>
      </c>
      <c r="AO758">
        <f t="shared" si="125"/>
        <v>0</v>
      </c>
      <c r="AP758" t="str">
        <f t="shared" ca="1" si="126"/>
        <v/>
      </c>
      <c r="AQ758" t="str">
        <f t="shared" ca="1" si="127"/>
        <v/>
      </c>
    </row>
    <row r="759" spans="1:43" ht="20.100000000000001" customHeight="1">
      <c r="A759" s="11">
        <f t="shared" si="129"/>
        <v>45797</v>
      </c>
      <c r="C759" s="39"/>
      <c r="Z759" s="154" t="str">
        <f t="shared" si="130"/>
        <v/>
      </c>
      <c r="AE759" s="172">
        <f t="shared" si="128"/>
        <v>3.472222222222222E-3</v>
      </c>
      <c r="AG759" s="154" t="str">
        <f t="shared" si="131"/>
        <v/>
      </c>
      <c r="AK759" t="e">
        <f t="shared" ref="AK759:AK800" ca="1" si="132">VLOOKUP($B759,INDIRECT($AK$4&amp;"!$Z$3:$AB$17"),3,FALSE)</f>
        <v>#N/A</v>
      </c>
      <c r="AL759" t="str">
        <f t="shared" ref="AL759:AL800" ca="1" si="133">IFERROR(AK759,"")</f>
        <v/>
      </c>
      <c r="AM759" t="str">
        <f t="shared" ref="AM759:AM800" si="134">IF(L759&lt;&gt;"",L759&amp;A759,"")</f>
        <v/>
      </c>
      <c r="AN759" s="172">
        <f t="shared" ref="AN759:AN800" si="135">AF759</f>
        <v>0</v>
      </c>
      <c r="AO759">
        <f t="shared" ref="AO759:AO800" si="136">IF(AND(L759&lt;&gt;"",O759&lt;&gt;"別ルート",O759&lt;&gt;"DS一時停止中",O759&lt;&gt;"RESCUER数時間後",O759&lt;&gt;"DSレスキュー済",O759&lt;&gt;"合流前Rescuee ",O759&lt;&gt;"合流前RESCUER",O759&lt;&gt;"DS完了",O759&lt;&gt;"Cortex Issue",V759&lt;&gt;"一時拒否",V759&lt;&gt;"終日拒否",V759&lt;&gt;"電話不通x2",V759&lt;&gt;"ー",V759&lt;&gt;"外国語",AA759&lt;&gt;"拒否",AA759&lt;&gt;"Rescueトラブル",AA759&lt;&gt;"電話不通x2",AA759&lt;&gt;"ー",AA759&lt;&gt;"外国語",AB759&lt;&gt;"拒否",AB759&lt;&gt;"電話不通x2",AB759&lt;&gt;"Rescueトラブル",AB759&lt;&gt;"外国語",AB759&lt;&gt;"ー"),1,0)</f>
        <v>0</v>
      </c>
      <c r="AP759" t="str">
        <f t="shared" ref="AP759:AP800" ca="1" si="137">IFERROR(IF(A759=TODAY(),VLOOKUP($L759,INDIRECT($AK$4&amp;"!AK:AM"),3,FALSE),""),"")</f>
        <v/>
      </c>
      <c r="AQ759" t="str">
        <f t="shared" ref="AQ759:AQ800" ca="1" si="138">IFERROR(IF(A759=TODAY(),VLOOKUP($I759,INDIRECT($AK$4&amp;"!AK:AM"),3,FALSE),""),"")</f>
        <v/>
      </c>
    </row>
    <row r="760" spans="1:43" ht="20.100000000000001" customHeight="1">
      <c r="A760" s="11">
        <f t="shared" si="129"/>
        <v>45797</v>
      </c>
      <c r="C760" s="39"/>
      <c r="Z760" s="154" t="str">
        <f t="shared" si="130"/>
        <v/>
      </c>
      <c r="AE760" s="172">
        <f t="shared" si="128"/>
        <v>3.472222222222222E-3</v>
      </c>
      <c r="AG760" s="154" t="str">
        <f t="shared" si="131"/>
        <v/>
      </c>
      <c r="AK760" t="e">
        <f t="shared" ca="1" si="132"/>
        <v>#N/A</v>
      </c>
      <c r="AL760" t="str">
        <f t="shared" ca="1" si="133"/>
        <v/>
      </c>
      <c r="AM760" t="str">
        <f t="shared" si="134"/>
        <v/>
      </c>
      <c r="AN760" s="172">
        <f t="shared" si="135"/>
        <v>0</v>
      </c>
      <c r="AO760">
        <f t="shared" si="136"/>
        <v>0</v>
      </c>
      <c r="AP760" t="str">
        <f t="shared" ca="1" si="137"/>
        <v/>
      </c>
      <c r="AQ760" t="str">
        <f t="shared" ca="1" si="138"/>
        <v/>
      </c>
    </row>
    <row r="761" spans="1:43" ht="20.100000000000001" customHeight="1">
      <c r="A761" s="11">
        <f t="shared" si="129"/>
        <v>45797</v>
      </c>
      <c r="C761" s="39"/>
      <c r="Z761" s="154" t="str">
        <f t="shared" si="130"/>
        <v/>
      </c>
      <c r="AE761" s="172">
        <f t="shared" si="128"/>
        <v>3.472222222222222E-3</v>
      </c>
      <c r="AG761" s="154" t="str">
        <f t="shared" si="131"/>
        <v/>
      </c>
      <c r="AK761" t="e">
        <f t="shared" ca="1" si="132"/>
        <v>#N/A</v>
      </c>
      <c r="AL761" t="str">
        <f t="shared" ca="1" si="133"/>
        <v/>
      </c>
      <c r="AM761" t="str">
        <f t="shared" si="134"/>
        <v/>
      </c>
      <c r="AN761" s="172">
        <f t="shared" si="135"/>
        <v>0</v>
      </c>
      <c r="AO761">
        <f t="shared" si="136"/>
        <v>0</v>
      </c>
      <c r="AP761" t="str">
        <f t="shared" ca="1" si="137"/>
        <v/>
      </c>
      <c r="AQ761" t="str">
        <f t="shared" ca="1" si="138"/>
        <v/>
      </c>
    </row>
    <row r="762" spans="1:43" ht="20.100000000000001" customHeight="1">
      <c r="A762" s="11">
        <f t="shared" si="129"/>
        <v>45797</v>
      </c>
      <c r="C762" s="39"/>
      <c r="Z762" s="154" t="str">
        <f t="shared" si="130"/>
        <v/>
      </c>
      <c r="AE762" s="172">
        <f t="shared" si="128"/>
        <v>3.472222222222222E-3</v>
      </c>
      <c r="AG762" s="154" t="str">
        <f t="shared" si="131"/>
        <v/>
      </c>
      <c r="AK762" t="e">
        <f t="shared" ca="1" si="132"/>
        <v>#N/A</v>
      </c>
      <c r="AL762" t="str">
        <f t="shared" ca="1" si="133"/>
        <v/>
      </c>
      <c r="AM762" t="str">
        <f t="shared" si="134"/>
        <v/>
      </c>
      <c r="AN762" s="172">
        <f t="shared" si="135"/>
        <v>0</v>
      </c>
      <c r="AO762">
        <f t="shared" si="136"/>
        <v>0</v>
      </c>
      <c r="AP762" t="str">
        <f t="shared" ca="1" si="137"/>
        <v/>
      </c>
      <c r="AQ762" t="str">
        <f t="shared" ca="1" si="138"/>
        <v/>
      </c>
    </row>
    <row r="763" spans="1:43" ht="20.100000000000001" customHeight="1">
      <c r="A763" s="11">
        <f t="shared" si="129"/>
        <v>45797</v>
      </c>
      <c r="C763" s="39"/>
      <c r="Z763" s="154" t="str">
        <f t="shared" si="130"/>
        <v/>
      </c>
      <c r="AE763" s="172">
        <f t="shared" si="128"/>
        <v>3.472222222222222E-3</v>
      </c>
      <c r="AG763" s="154" t="str">
        <f t="shared" si="131"/>
        <v/>
      </c>
      <c r="AK763" t="e">
        <f t="shared" ca="1" si="132"/>
        <v>#N/A</v>
      </c>
      <c r="AL763" t="str">
        <f t="shared" ca="1" si="133"/>
        <v/>
      </c>
      <c r="AM763" t="str">
        <f t="shared" si="134"/>
        <v/>
      </c>
      <c r="AN763" s="172">
        <f t="shared" si="135"/>
        <v>0</v>
      </c>
      <c r="AO763">
        <f t="shared" si="136"/>
        <v>0</v>
      </c>
      <c r="AP763" t="str">
        <f t="shared" ca="1" si="137"/>
        <v/>
      </c>
      <c r="AQ763" t="str">
        <f t="shared" ca="1" si="138"/>
        <v/>
      </c>
    </row>
    <row r="764" spans="1:43" ht="20.100000000000001" customHeight="1">
      <c r="A764" s="11">
        <f t="shared" si="129"/>
        <v>45797</v>
      </c>
      <c r="C764" s="39"/>
      <c r="Z764" s="154" t="str">
        <f t="shared" si="130"/>
        <v/>
      </c>
      <c r="AE764" s="172">
        <f t="shared" si="128"/>
        <v>3.472222222222222E-3</v>
      </c>
      <c r="AG764" s="154" t="str">
        <f t="shared" si="131"/>
        <v/>
      </c>
      <c r="AK764" t="e">
        <f t="shared" ca="1" si="132"/>
        <v>#N/A</v>
      </c>
      <c r="AL764" t="str">
        <f t="shared" ca="1" si="133"/>
        <v/>
      </c>
      <c r="AM764" t="str">
        <f t="shared" si="134"/>
        <v/>
      </c>
      <c r="AN764" s="172">
        <f t="shared" si="135"/>
        <v>0</v>
      </c>
      <c r="AO764">
        <f t="shared" si="136"/>
        <v>0</v>
      </c>
      <c r="AP764" t="str">
        <f t="shared" ca="1" si="137"/>
        <v/>
      </c>
      <c r="AQ764" t="str">
        <f t="shared" ca="1" si="138"/>
        <v/>
      </c>
    </row>
    <row r="765" spans="1:43" ht="20.100000000000001" customHeight="1">
      <c r="A765" s="11">
        <f t="shared" si="129"/>
        <v>45797</v>
      </c>
      <c r="C765" s="39"/>
      <c r="Z765" s="154" t="str">
        <f t="shared" si="130"/>
        <v/>
      </c>
      <c r="AE765" s="172">
        <f t="shared" si="128"/>
        <v>3.472222222222222E-3</v>
      </c>
      <c r="AG765" s="154" t="str">
        <f t="shared" si="131"/>
        <v/>
      </c>
      <c r="AK765" t="e">
        <f t="shared" ca="1" si="132"/>
        <v>#N/A</v>
      </c>
      <c r="AL765" t="str">
        <f t="shared" ca="1" si="133"/>
        <v/>
      </c>
      <c r="AM765" t="str">
        <f t="shared" si="134"/>
        <v/>
      </c>
      <c r="AN765" s="172">
        <f t="shared" si="135"/>
        <v>0</v>
      </c>
      <c r="AO765">
        <f t="shared" si="136"/>
        <v>0</v>
      </c>
      <c r="AP765" t="str">
        <f t="shared" ca="1" si="137"/>
        <v/>
      </c>
      <c r="AQ765" t="str">
        <f t="shared" ca="1" si="138"/>
        <v/>
      </c>
    </row>
    <row r="766" spans="1:43" ht="20.100000000000001" customHeight="1">
      <c r="A766" s="11">
        <f t="shared" si="129"/>
        <v>45797</v>
      </c>
      <c r="C766" s="39"/>
      <c r="Z766" s="154" t="str">
        <f t="shared" si="130"/>
        <v/>
      </c>
      <c r="AE766" s="172">
        <f t="shared" si="128"/>
        <v>3.472222222222222E-3</v>
      </c>
      <c r="AG766" s="154" t="str">
        <f t="shared" si="131"/>
        <v/>
      </c>
      <c r="AK766" t="e">
        <f t="shared" ca="1" si="132"/>
        <v>#N/A</v>
      </c>
      <c r="AL766" t="str">
        <f t="shared" ca="1" si="133"/>
        <v/>
      </c>
      <c r="AM766" t="str">
        <f t="shared" si="134"/>
        <v/>
      </c>
      <c r="AN766" s="172">
        <f t="shared" si="135"/>
        <v>0</v>
      </c>
      <c r="AO766">
        <f t="shared" si="136"/>
        <v>0</v>
      </c>
      <c r="AP766" t="str">
        <f t="shared" ca="1" si="137"/>
        <v/>
      </c>
      <c r="AQ766" t="str">
        <f t="shared" ca="1" si="138"/>
        <v/>
      </c>
    </row>
    <row r="767" spans="1:43" ht="20.100000000000001" customHeight="1">
      <c r="A767" s="11">
        <f t="shared" si="129"/>
        <v>45797</v>
      </c>
      <c r="C767" s="39"/>
      <c r="Z767" s="154" t="str">
        <f t="shared" si="130"/>
        <v/>
      </c>
      <c r="AE767" s="172">
        <f t="shared" si="128"/>
        <v>3.472222222222222E-3</v>
      </c>
      <c r="AG767" s="154" t="str">
        <f t="shared" si="131"/>
        <v/>
      </c>
      <c r="AK767" t="e">
        <f t="shared" ca="1" si="132"/>
        <v>#N/A</v>
      </c>
      <c r="AL767" t="str">
        <f t="shared" ca="1" si="133"/>
        <v/>
      </c>
      <c r="AM767" t="str">
        <f t="shared" si="134"/>
        <v/>
      </c>
      <c r="AN767" s="172">
        <f t="shared" si="135"/>
        <v>0</v>
      </c>
      <c r="AO767">
        <f t="shared" si="136"/>
        <v>0</v>
      </c>
      <c r="AP767" t="str">
        <f t="shared" ca="1" si="137"/>
        <v/>
      </c>
      <c r="AQ767" t="str">
        <f t="shared" ca="1" si="138"/>
        <v/>
      </c>
    </row>
    <row r="768" spans="1:43" ht="20.100000000000001" customHeight="1">
      <c r="A768" s="11">
        <f t="shared" si="129"/>
        <v>45797</v>
      </c>
      <c r="C768" s="39"/>
      <c r="Z768" s="154" t="str">
        <f t="shared" si="130"/>
        <v/>
      </c>
      <c r="AE768" s="172">
        <f t="shared" si="128"/>
        <v>3.472222222222222E-3</v>
      </c>
      <c r="AG768" s="154" t="str">
        <f t="shared" si="131"/>
        <v/>
      </c>
      <c r="AK768" t="e">
        <f t="shared" ca="1" si="132"/>
        <v>#N/A</v>
      </c>
      <c r="AL768" t="str">
        <f t="shared" ca="1" si="133"/>
        <v/>
      </c>
      <c r="AM768" t="str">
        <f t="shared" si="134"/>
        <v/>
      </c>
      <c r="AN768" s="172">
        <f t="shared" si="135"/>
        <v>0</v>
      </c>
      <c r="AO768">
        <f t="shared" si="136"/>
        <v>0</v>
      </c>
      <c r="AP768" t="str">
        <f t="shared" ca="1" si="137"/>
        <v/>
      </c>
      <c r="AQ768" t="str">
        <f t="shared" ca="1" si="138"/>
        <v/>
      </c>
    </row>
    <row r="769" spans="1:43" ht="20.100000000000001" customHeight="1">
      <c r="A769" s="11">
        <f t="shared" si="129"/>
        <v>45797</v>
      </c>
      <c r="C769" s="39"/>
      <c r="Z769" s="154" t="str">
        <f t="shared" si="130"/>
        <v/>
      </c>
      <c r="AE769" s="172">
        <f t="shared" si="128"/>
        <v>3.472222222222222E-3</v>
      </c>
      <c r="AG769" s="154" t="str">
        <f t="shared" si="131"/>
        <v/>
      </c>
      <c r="AK769" t="e">
        <f t="shared" ca="1" si="132"/>
        <v>#N/A</v>
      </c>
      <c r="AL769" t="str">
        <f t="shared" ca="1" si="133"/>
        <v/>
      </c>
      <c r="AM769" t="str">
        <f t="shared" si="134"/>
        <v/>
      </c>
      <c r="AN769" s="172">
        <f t="shared" si="135"/>
        <v>0</v>
      </c>
      <c r="AO769">
        <f t="shared" si="136"/>
        <v>0</v>
      </c>
      <c r="AP769" t="str">
        <f t="shared" ca="1" si="137"/>
        <v/>
      </c>
      <c r="AQ769" t="str">
        <f t="shared" ca="1" si="138"/>
        <v/>
      </c>
    </row>
    <row r="770" spans="1:43" ht="20.100000000000001" customHeight="1">
      <c r="A770" s="11">
        <f t="shared" si="129"/>
        <v>45797</v>
      </c>
      <c r="C770" s="39"/>
      <c r="Z770" s="154" t="str">
        <f t="shared" si="130"/>
        <v/>
      </c>
      <c r="AE770" s="172">
        <f t="shared" si="128"/>
        <v>3.472222222222222E-3</v>
      </c>
      <c r="AG770" s="154" t="str">
        <f t="shared" si="131"/>
        <v/>
      </c>
      <c r="AK770" t="e">
        <f t="shared" ca="1" si="132"/>
        <v>#N/A</v>
      </c>
      <c r="AL770" t="str">
        <f t="shared" ca="1" si="133"/>
        <v/>
      </c>
      <c r="AM770" t="str">
        <f t="shared" si="134"/>
        <v/>
      </c>
      <c r="AN770" s="172">
        <f t="shared" si="135"/>
        <v>0</v>
      </c>
      <c r="AO770">
        <f t="shared" si="136"/>
        <v>0</v>
      </c>
      <c r="AP770" t="str">
        <f t="shared" ca="1" si="137"/>
        <v/>
      </c>
      <c r="AQ770" t="str">
        <f t="shared" ca="1" si="138"/>
        <v/>
      </c>
    </row>
    <row r="771" spans="1:43" ht="20.100000000000001" customHeight="1">
      <c r="A771" s="11">
        <f t="shared" si="129"/>
        <v>45797</v>
      </c>
      <c r="C771" s="39"/>
      <c r="Z771" s="154" t="str">
        <f t="shared" si="130"/>
        <v/>
      </c>
      <c r="AE771" s="172">
        <f t="shared" si="128"/>
        <v>3.472222222222222E-3</v>
      </c>
      <c r="AG771" s="154" t="str">
        <f t="shared" si="131"/>
        <v/>
      </c>
      <c r="AK771" t="e">
        <f t="shared" ca="1" si="132"/>
        <v>#N/A</v>
      </c>
      <c r="AL771" t="str">
        <f t="shared" ca="1" si="133"/>
        <v/>
      </c>
      <c r="AM771" t="str">
        <f t="shared" si="134"/>
        <v/>
      </c>
      <c r="AN771" s="172">
        <f t="shared" si="135"/>
        <v>0</v>
      </c>
      <c r="AO771">
        <f t="shared" si="136"/>
        <v>0</v>
      </c>
      <c r="AP771" t="str">
        <f t="shared" ca="1" si="137"/>
        <v/>
      </c>
      <c r="AQ771" t="str">
        <f t="shared" ca="1" si="138"/>
        <v/>
      </c>
    </row>
    <row r="772" spans="1:43" ht="20.100000000000001" customHeight="1">
      <c r="A772" s="11">
        <f t="shared" si="129"/>
        <v>45797</v>
      </c>
      <c r="C772" s="39"/>
      <c r="Z772" s="154" t="str">
        <f t="shared" si="130"/>
        <v/>
      </c>
      <c r="AE772" s="172">
        <f t="shared" si="128"/>
        <v>3.472222222222222E-3</v>
      </c>
      <c r="AG772" s="154" t="str">
        <f t="shared" si="131"/>
        <v/>
      </c>
      <c r="AK772" t="e">
        <f t="shared" ca="1" si="132"/>
        <v>#N/A</v>
      </c>
      <c r="AL772" t="str">
        <f t="shared" ca="1" si="133"/>
        <v/>
      </c>
      <c r="AM772" t="str">
        <f t="shared" si="134"/>
        <v/>
      </c>
      <c r="AN772" s="172">
        <f t="shared" si="135"/>
        <v>0</v>
      </c>
      <c r="AO772">
        <f t="shared" si="136"/>
        <v>0</v>
      </c>
      <c r="AP772" t="str">
        <f t="shared" ca="1" si="137"/>
        <v/>
      </c>
      <c r="AQ772" t="str">
        <f t="shared" ca="1" si="138"/>
        <v/>
      </c>
    </row>
    <row r="773" spans="1:43" ht="20.100000000000001" customHeight="1">
      <c r="A773" s="11">
        <f t="shared" si="129"/>
        <v>45797</v>
      </c>
      <c r="C773" s="39"/>
      <c r="Z773" s="154" t="str">
        <f t="shared" si="130"/>
        <v/>
      </c>
      <c r="AE773" s="172">
        <f t="shared" ref="AE773:AE800" si="139">TIME(0,$K773+5,0)</f>
        <v>3.472222222222222E-3</v>
      </c>
      <c r="AG773" s="154" t="str">
        <f t="shared" si="131"/>
        <v/>
      </c>
      <c r="AK773" t="e">
        <f t="shared" ca="1" si="132"/>
        <v>#N/A</v>
      </c>
      <c r="AL773" t="str">
        <f t="shared" ca="1" si="133"/>
        <v/>
      </c>
      <c r="AM773" t="str">
        <f t="shared" si="134"/>
        <v/>
      </c>
      <c r="AN773" s="172">
        <f t="shared" si="135"/>
        <v>0</v>
      </c>
      <c r="AO773">
        <f t="shared" si="136"/>
        <v>0</v>
      </c>
      <c r="AP773" t="str">
        <f t="shared" ca="1" si="137"/>
        <v/>
      </c>
      <c r="AQ773" t="str">
        <f t="shared" ca="1" si="138"/>
        <v/>
      </c>
    </row>
    <row r="774" spans="1:43" ht="20.100000000000001" customHeight="1">
      <c r="A774" s="11">
        <f t="shared" ref="A774:A800" si="140">A773</f>
        <v>45797</v>
      </c>
      <c r="C774" s="39"/>
      <c r="Z774" s="154" t="str">
        <f t="shared" ref="Z774:Z800" si="141">IF(Y774="","",$Y774+TIME(0,5,0))</f>
        <v/>
      </c>
      <c r="AE774" s="172">
        <f t="shared" si="139"/>
        <v>3.472222222222222E-3</v>
      </c>
      <c r="AG774" s="154" t="str">
        <f t="shared" ref="AG774:AG800" si="142">IF(AF774="","",IF(D774="トラブル報告",AF774+TIME(0,45,0),SUM(AE774,AF774)))</f>
        <v/>
      </c>
      <c r="AK774" t="e">
        <f t="shared" ca="1" si="132"/>
        <v>#N/A</v>
      </c>
      <c r="AL774" t="str">
        <f t="shared" ca="1" si="133"/>
        <v/>
      </c>
      <c r="AM774" t="str">
        <f t="shared" si="134"/>
        <v/>
      </c>
      <c r="AN774" s="172">
        <f t="shared" si="135"/>
        <v>0</v>
      </c>
      <c r="AO774">
        <f t="shared" si="136"/>
        <v>0</v>
      </c>
      <c r="AP774" t="str">
        <f t="shared" ca="1" si="137"/>
        <v/>
      </c>
      <c r="AQ774" t="str">
        <f t="shared" ca="1" si="138"/>
        <v/>
      </c>
    </row>
    <row r="775" spans="1:43" ht="20.100000000000001" customHeight="1">
      <c r="A775" s="11">
        <f t="shared" si="140"/>
        <v>45797</v>
      </c>
      <c r="C775" s="39"/>
      <c r="Z775" s="154" t="str">
        <f t="shared" si="141"/>
        <v/>
      </c>
      <c r="AE775" s="172">
        <f t="shared" si="139"/>
        <v>3.472222222222222E-3</v>
      </c>
      <c r="AG775" s="154" t="str">
        <f t="shared" si="142"/>
        <v/>
      </c>
      <c r="AK775" t="e">
        <f t="shared" ca="1" si="132"/>
        <v>#N/A</v>
      </c>
      <c r="AL775" t="str">
        <f t="shared" ca="1" si="133"/>
        <v/>
      </c>
      <c r="AM775" t="str">
        <f t="shared" si="134"/>
        <v/>
      </c>
      <c r="AN775" s="172">
        <f t="shared" si="135"/>
        <v>0</v>
      </c>
      <c r="AO775">
        <f t="shared" si="136"/>
        <v>0</v>
      </c>
      <c r="AP775" t="str">
        <f t="shared" ca="1" si="137"/>
        <v/>
      </c>
      <c r="AQ775" t="str">
        <f t="shared" ca="1" si="138"/>
        <v/>
      </c>
    </row>
    <row r="776" spans="1:43" ht="20.100000000000001" customHeight="1">
      <c r="A776" s="11">
        <f t="shared" si="140"/>
        <v>45797</v>
      </c>
      <c r="C776" s="39"/>
      <c r="Z776" s="154" t="str">
        <f t="shared" si="141"/>
        <v/>
      </c>
      <c r="AE776" s="172">
        <f t="shared" si="139"/>
        <v>3.472222222222222E-3</v>
      </c>
      <c r="AG776" s="154" t="str">
        <f t="shared" si="142"/>
        <v/>
      </c>
      <c r="AK776" t="e">
        <f t="shared" ca="1" si="132"/>
        <v>#N/A</v>
      </c>
      <c r="AL776" t="str">
        <f t="shared" ca="1" si="133"/>
        <v/>
      </c>
      <c r="AM776" t="str">
        <f t="shared" si="134"/>
        <v/>
      </c>
      <c r="AN776" s="172">
        <f t="shared" si="135"/>
        <v>0</v>
      </c>
      <c r="AO776">
        <f t="shared" si="136"/>
        <v>0</v>
      </c>
      <c r="AP776" t="str">
        <f t="shared" ca="1" si="137"/>
        <v/>
      </c>
      <c r="AQ776" t="str">
        <f t="shared" ca="1" si="138"/>
        <v/>
      </c>
    </row>
    <row r="777" spans="1:43" ht="20.100000000000001" customHeight="1">
      <c r="A777" s="11">
        <f t="shared" si="140"/>
        <v>45797</v>
      </c>
      <c r="C777" s="39"/>
      <c r="Z777" s="154" t="str">
        <f t="shared" si="141"/>
        <v/>
      </c>
      <c r="AE777" s="172">
        <f t="shared" si="139"/>
        <v>3.472222222222222E-3</v>
      </c>
      <c r="AG777" s="154" t="str">
        <f t="shared" si="142"/>
        <v/>
      </c>
      <c r="AK777" t="e">
        <f t="shared" ca="1" si="132"/>
        <v>#N/A</v>
      </c>
      <c r="AL777" t="str">
        <f t="shared" ca="1" si="133"/>
        <v/>
      </c>
      <c r="AM777" t="str">
        <f t="shared" si="134"/>
        <v/>
      </c>
      <c r="AN777" s="172">
        <f t="shared" si="135"/>
        <v>0</v>
      </c>
      <c r="AO777">
        <f t="shared" si="136"/>
        <v>0</v>
      </c>
      <c r="AP777" t="str">
        <f t="shared" ca="1" si="137"/>
        <v/>
      </c>
      <c r="AQ777" t="str">
        <f t="shared" ca="1" si="138"/>
        <v/>
      </c>
    </row>
    <row r="778" spans="1:43" ht="20.100000000000001" customHeight="1">
      <c r="A778" s="11">
        <f t="shared" si="140"/>
        <v>45797</v>
      </c>
      <c r="C778" s="39"/>
      <c r="Z778" s="154" t="str">
        <f t="shared" si="141"/>
        <v/>
      </c>
      <c r="AE778" s="172">
        <f t="shared" si="139"/>
        <v>3.472222222222222E-3</v>
      </c>
      <c r="AG778" s="154" t="str">
        <f t="shared" si="142"/>
        <v/>
      </c>
      <c r="AK778" t="e">
        <f t="shared" ca="1" si="132"/>
        <v>#N/A</v>
      </c>
      <c r="AL778" t="str">
        <f t="shared" ca="1" si="133"/>
        <v/>
      </c>
      <c r="AM778" t="str">
        <f t="shared" si="134"/>
        <v/>
      </c>
      <c r="AN778" s="172">
        <f t="shared" si="135"/>
        <v>0</v>
      </c>
      <c r="AO778">
        <f t="shared" si="136"/>
        <v>0</v>
      </c>
      <c r="AP778" t="str">
        <f t="shared" ca="1" si="137"/>
        <v/>
      </c>
      <c r="AQ778" t="str">
        <f t="shared" ca="1" si="138"/>
        <v/>
      </c>
    </row>
    <row r="779" spans="1:43" ht="20.100000000000001" customHeight="1">
      <c r="A779" s="11">
        <f t="shared" si="140"/>
        <v>45797</v>
      </c>
      <c r="C779" s="39"/>
      <c r="Z779" s="154" t="str">
        <f t="shared" si="141"/>
        <v/>
      </c>
      <c r="AE779" s="172">
        <f t="shared" si="139"/>
        <v>3.472222222222222E-3</v>
      </c>
      <c r="AG779" s="154" t="str">
        <f t="shared" si="142"/>
        <v/>
      </c>
      <c r="AK779" t="e">
        <f t="shared" ca="1" si="132"/>
        <v>#N/A</v>
      </c>
      <c r="AL779" t="str">
        <f t="shared" ca="1" si="133"/>
        <v/>
      </c>
      <c r="AM779" t="str">
        <f t="shared" si="134"/>
        <v/>
      </c>
      <c r="AN779" s="172">
        <f t="shared" si="135"/>
        <v>0</v>
      </c>
      <c r="AO779">
        <f t="shared" si="136"/>
        <v>0</v>
      </c>
      <c r="AP779" t="str">
        <f t="shared" ca="1" si="137"/>
        <v/>
      </c>
      <c r="AQ779" t="str">
        <f t="shared" ca="1" si="138"/>
        <v/>
      </c>
    </row>
    <row r="780" spans="1:43" ht="20.100000000000001" customHeight="1">
      <c r="A780" s="11">
        <f t="shared" si="140"/>
        <v>45797</v>
      </c>
      <c r="C780" s="39"/>
      <c r="Z780" s="154" t="str">
        <f t="shared" si="141"/>
        <v/>
      </c>
      <c r="AE780" s="172">
        <f t="shared" si="139"/>
        <v>3.472222222222222E-3</v>
      </c>
      <c r="AG780" s="154" t="str">
        <f t="shared" si="142"/>
        <v/>
      </c>
      <c r="AK780" t="e">
        <f t="shared" ca="1" si="132"/>
        <v>#N/A</v>
      </c>
      <c r="AL780" t="str">
        <f t="shared" ca="1" si="133"/>
        <v/>
      </c>
      <c r="AM780" t="str">
        <f t="shared" si="134"/>
        <v/>
      </c>
      <c r="AN780" s="172">
        <f t="shared" si="135"/>
        <v>0</v>
      </c>
      <c r="AO780">
        <f t="shared" si="136"/>
        <v>0</v>
      </c>
      <c r="AP780" t="str">
        <f t="shared" ca="1" si="137"/>
        <v/>
      </c>
      <c r="AQ780" t="str">
        <f t="shared" ca="1" si="138"/>
        <v/>
      </c>
    </row>
    <row r="781" spans="1:43" ht="20.100000000000001" customHeight="1">
      <c r="A781" s="11">
        <f t="shared" si="140"/>
        <v>45797</v>
      </c>
      <c r="C781" s="39"/>
      <c r="Z781" s="154" t="str">
        <f t="shared" si="141"/>
        <v/>
      </c>
      <c r="AE781" s="172">
        <f t="shared" si="139"/>
        <v>3.472222222222222E-3</v>
      </c>
      <c r="AG781" s="154" t="str">
        <f t="shared" si="142"/>
        <v/>
      </c>
      <c r="AK781" t="e">
        <f t="shared" ca="1" si="132"/>
        <v>#N/A</v>
      </c>
      <c r="AL781" t="str">
        <f t="shared" ca="1" si="133"/>
        <v/>
      </c>
      <c r="AM781" t="str">
        <f t="shared" si="134"/>
        <v/>
      </c>
      <c r="AN781" s="172">
        <f t="shared" si="135"/>
        <v>0</v>
      </c>
      <c r="AO781">
        <f t="shared" si="136"/>
        <v>0</v>
      </c>
      <c r="AP781" t="str">
        <f t="shared" ca="1" si="137"/>
        <v/>
      </c>
      <c r="AQ781" t="str">
        <f t="shared" ca="1" si="138"/>
        <v/>
      </c>
    </row>
    <row r="782" spans="1:43" ht="20.100000000000001" customHeight="1">
      <c r="A782" s="11">
        <f t="shared" si="140"/>
        <v>45797</v>
      </c>
      <c r="C782" s="39"/>
      <c r="Z782" s="154" t="str">
        <f t="shared" si="141"/>
        <v/>
      </c>
      <c r="AE782" s="172">
        <f t="shared" si="139"/>
        <v>3.472222222222222E-3</v>
      </c>
      <c r="AG782" s="154" t="str">
        <f t="shared" si="142"/>
        <v/>
      </c>
      <c r="AK782" t="e">
        <f t="shared" ca="1" si="132"/>
        <v>#N/A</v>
      </c>
      <c r="AL782" t="str">
        <f t="shared" ca="1" si="133"/>
        <v/>
      </c>
      <c r="AM782" t="str">
        <f t="shared" si="134"/>
        <v/>
      </c>
      <c r="AN782" s="172">
        <f t="shared" si="135"/>
        <v>0</v>
      </c>
      <c r="AO782">
        <f t="shared" si="136"/>
        <v>0</v>
      </c>
      <c r="AP782" t="str">
        <f t="shared" ca="1" si="137"/>
        <v/>
      </c>
      <c r="AQ782" t="str">
        <f t="shared" ca="1" si="138"/>
        <v/>
      </c>
    </row>
    <row r="783" spans="1:43" ht="20.100000000000001" customHeight="1">
      <c r="A783" s="11">
        <f t="shared" si="140"/>
        <v>45797</v>
      </c>
      <c r="C783" s="39"/>
      <c r="Z783" s="154" t="str">
        <f t="shared" si="141"/>
        <v/>
      </c>
      <c r="AE783" s="172">
        <f t="shared" si="139"/>
        <v>3.472222222222222E-3</v>
      </c>
      <c r="AG783" s="154" t="str">
        <f t="shared" si="142"/>
        <v/>
      </c>
      <c r="AK783" t="e">
        <f t="shared" ca="1" si="132"/>
        <v>#N/A</v>
      </c>
      <c r="AL783" t="str">
        <f t="shared" ca="1" si="133"/>
        <v/>
      </c>
      <c r="AM783" t="str">
        <f t="shared" si="134"/>
        <v/>
      </c>
      <c r="AN783" s="172">
        <f t="shared" si="135"/>
        <v>0</v>
      </c>
      <c r="AO783">
        <f t="shared" si="136"/>
        <v>0</v>
      </c>
      <c r="AP783" t="str">
        <f t="shared" ca="1" si="137"/>
        <v/>
      </c>
      <c r="AQ783" t="str">
        <f t="shared" ca="1" si="138"/>
        <v/>
      </c>
    </row>
    <row r="784" spans="1:43" ht="20.100000000000001" customHeight="1">
      <c r="A784" s="11">
        <f t="shared" si="140"/>
        <v>45797</v>
      </c>
      <c r="C784" s="39"/>
      <c r="Z784" s="154" t="str">
        <f t="shared" si="141"/>
        <v/>
      </c>
      <c r="AE784" s="172">
        <f t="shared" si="139"/>
        <v>3.472222222222222E-3</v>
      </c>
      <c r="AG784" s="154" t="str">
        <f t="shared" si="142"/>
        <v/>
      </c>
      <c r="AK784" t="e">
        <f t="shared" ca="1" si="132"/>
        <v>#N/A</v>
      </c>
      <c r="AL784" t="str">
        <f t="shared" ca="1" si="133"/>
        <v/>
      </c>
      <c r="AM784" t="str">
        <f t="shared" si="134"/>
        <v/>
      </c>
      <c r="AN784" s="172">
        <f t="shared" si="135"/>
        <v>0</v>
      </c>
      <c r="AO784">
        <f t="shared" si="136"/>
        <v>0</v>
      </c>
      <c r="AP784" t="str">
        <f t="shared" ca="1" si="137"/>
        <v/>
      </c>
      <c r="AQ784" t="str">
        <f t="shared" ca="1" si="138"/>
        <v/>
      </c>
    </row>
    <row r="785" spans="1:43" ht="20.100000000000001" customHeight="1">
      <c r="A785" s="11">
        <f t="shared" si="140"/>
        <v>45797</v>
      </c>
      <c r="C785" s="39"/>
      <c r="Z785" s="154" t="str">
        <f t="shared" si="141"/>
        <v/>
      </c>
      <c r="AE785" s="172">
        <f t="shared" si="139"/>
        <v>3.472222222222222E-3</v>
      </c>
      <c r="AG785" s="154" t="str">
        <f t="shared" si="142"/>
        <v/>
      </c>
      <c r="AK785" t="e">
        <f t="shared" ca="1" si="132"/>
        <v>#N/A</v>
      </c>
      <c r="AL785" t="str">
        <f t="shared" ca="1" si="133"/>
        <v/>
      </c>
      <c r="AM785" t="str">
        <f t="shared" si="134"/>
        <v/>
      </c>
      <c r="AN785" s="172">
        <f t="shared" si="135"/>
        <v>0</v>
      </c>
      <c r="AO785">
        <f t="shared" si="136"/>
        <v>0</v>
      </c>
      <c r="AP785" t="str">
        <f t="shared" ca="1" si="137"/>
        <v/>
      </c>
      <c r="AQ785" t="str">
        <f t="shared" ca="1" si="138"/>
        <v/>
      </c>
    </row>
    <row r="786" spans="1:43" ht="20.100000000000001" customHeight="1">
      <c r="A786" s="11">
        <f t="shared" si="140"/>
        <v>45797</v>
      </c>
      <c r="C786" s="39"/>
      <c r="Z786" s="154" t="str">
        <f t="shared" si="141"/>
        <v/>
      </c>
      <c r="AE786" s="172">
        <f t="shared" si="139"/>
        <v>3.472222222222222E-3</v>
      </c>
      <c r="AG786" s="154" t="str">
        <f t="shared" si="142"/>
        <v/>
      </c>
      <c r="AK786" t="e">
        <f t="shared" ca="1" si="132"/>
        <v>#N/A</v>
      </c>
      <c r="AL786" t="str">
        <f t="shared" ca="1" si="133"/>
        <v/>
      </c>
      <c r="AM786" t="str">
        <f t="shared" si="134"/>
        <v/>
      </c>
      <c r="AN786" s="172">
        <f t="shared" si="135"/>
        <v>0</v>
      </c>
      <c r="AO786">
        <f t="shared" si="136"/>
        <v>0</v>
      </c>
      <c r="AP786" t="str">
        <f t="shared" ca="1" si="137"/>
        <v/>
      </c>
      <c r="AQ786" t="str">
        <f t="shared" ca="1" si="138"/>
        <v/>
      </c>
    </row>
    <row r="787" spans="1:43" ht="20.100000000000001" customHeight="1">
      <c r="A787" s="11">
        <f t="shared" si="140"/>
        <v>45797</v>
      </c>
      <c r="C787" s="39"/>
      <c r="Z787" s="154" t="str">
        <f t="shared" si="141"/>
        <v/>
      </c>
      <c r="AE787" s="172">
        <f t="shared" si="139"/>
        <v>3.472222222222222E-3</v>
      </c>
      <c r="AG787" s="154" t="str">
        <f t="shared" si="142"/>
        <v/>
      </c>
      <c r="AK787" t="e">
        <f t="shared" ca="1" si="132"/>
        <v>#N/A</v>
      </c>
      <c r="AL787" t="str">
        <f t="shared" ca="1" si="133"/>
        <v/>
      </c>
      <c r="AM787" t="str">
        <f t="shared" si="134"/>
        <v/>
      </c>
      <c r="AN787" s="172">
        <f t="shared" si="135"/>
        <v>0</v>
      </c>
      <c r="AO787">
        <f t="shared" si="136"/>
        <v>0</v>
      </c>
      <c r="AP787" t="str">
        <f t="shared" ca="1" si="137"/>
        <v/>
      </c>
      <c r="AQ787" t="str">
        <f t="shared" ca="1" si="138"/>
        <v/>
      </c>
    </row>
    <row r="788" spans="1:43" ht="20.100000000000001" customHeight="1">
      <c r="A788" s="11">
        <f t="shared" si="140"/>
        <v>45797</v>
      </c>
      <c r="C788" s="39"/>
      <c r="Z788" s="154" t="str">
        <f t="shared" si="141"/>
        <v/>
      </c>
      <c r="AE788" s="172">
        <f t="shared" si="139"/>
        <v>3.472222222222222E-3</v>
      </c>
      <c r="AG788" s="154" t="str">
        <f t="shared" si="142"/>
        <v/>
      </c>
      <c r="AK788" t="e">
        <f t="shared" ca="1" si="132"/>
        <v>#N/A</v>
      </c>
      <c r="AL788" t="str">
        <f t="shared" ca="1" si="133"/>
        <v/>
      </c>
      <c r="AM788" t="str">
        <f t="shared" si="134"/>
        <v/>
      </c>
      <c r="AN788" s="172">
        <f t="shared" si="135"/>
        <v>0</v>
      </c>
      <c r="AO788">
        <f t="shared" si="136"/>
        <v>0</v>
      </c>
      <c r="AP788" t="str">
        <f t="shared" ca="1" si="137"/>
        <v/>
      </c>
      <c r="AQ788" t="str">
        <f t="shared" ca="1" si="138"/>
        <v/>
      </c>
    </row>
    <row r="789" spans="1:43" ht="20.100000000000001" customHeight="1">
      <c r="A789" s="11">
        <f t="shared" si="140"/>
        <v>45797</v>
      </c>
      <c r="C789" s="39"/>
      <c r="Z789" s="154" t="str">
        <f t="shared" si="141"/>
        <v/>
      </c>
      <c r="AE789" s="172">
        <f t="shared" si="139"/>
        <v>3.472222222222222E-3</v>
      </c>
      <c r="AG789" s="154" t="str">
        <f t="shared" si="142"/>
        <v/>
      </c>
      <c r="AK789" t="e">
        <f t="shared" ca="1" si="132"/>
        <v>#N/A</v>
      </c>
      <c r="AL789" t="str">
        <f t="shared" ca="1" si="133"/>
        <v/>
      </c>
      <c r="AM789" t="str">
        <f t="shared" si="134"/>
        <v/>
      </c>
      <c r="AN789" s="172">
        <f t="shared" si="135"/>
        <v>0</v>
      </c>
      <c r="AO789">
        <f t="shared" si="136"/>
        <v>0</v>
      </c>
      <c r="AP789" t="str">
        <f t="shared" ca="1" si="137"/>
        <v/>
      </c>
      <c r="AQ789" t="str">
        <f t="shared" ca="1" si="138"/>
        <v/>
      </c>
    </row>
    <row r="790" spans="1:43" ht="20.100000000000001" customHeight="1">
      <c r="A790" s="11">
        <f t="shared" si="140"/>
        <v>45797</v>
      </c>
      <c r="C790" s="39"/>
      <c r="Z790" s="154" t="str">
        <f t="shared" si="141"/>
        <v/>
      </c>
      <c r="AE790" s="172">
        <f t="shared" si="139"/>
        <v>3.472222222222222E-3</v>
      </c>
      <c r="AG790" s="154" t="str">
        <f t="shared" si="142"/>
        <v/>
      </c>
      <c r="AK790" t="e">
        <f t="shared" ca="1" si="132"/>
        <v>#N/A</v>
      </c>
      <c r="AL790" t="str">
        <f t="shared" ca="1" si="133"/>
        <v/>
      </c>
      <c r="AM790" t="str">
        <f t="shared" si="134"/>
        <v/>
      </c>
      <c r="AN790" s="172">
        <f t="shared" si="135"/>
        <v>0</v>
      </c>
      <c r="AO790">
        <f t="shared" si="136"/>
        <v>0</v>
      </c>
      <c r="AP790" t="str">
        <f t="shared" ca="1" si="137"/>
        <v/>
      </c>
      <c r="AQ790" t="str">
        <f t="shared" ca="1" si="138"/>
        <v/>
      </c>
    </row>
    <row r="791" spans="1:43" ht="20.100000000000001" customHeight="1">
      <c r="A791" s="11">
        <f t="shared" si="140"/>
        <v>45797</v>
      </c>
      <c r="C791" s="39"/>
      <c r="Z791" s="154" t="str">
        <f t="shared" si="141"/>
        <v/>
      </c>
      <c r="AE791" s="172">
        <f t="shared" si="139"/>
        <v>3.472222222222222E-3</v>
      </c>
      <c r="AG791" s="154" t="str">
        <f t="shared" si="142"/>
        <v/>
      </c>
      <c r="AK791" t="e">
        <f t="shared" ca="1" si="132"/>
        <v>#N/A</v>
      </c>
      <c r="AL791" t="str">
        <f t="shared" ca="1" si="133"/>
        <v/>
      </c>
      <c r="AM791" t="str">
        <f t="shared" si="134"/>
        <v/>
      </c>
      <c r="AN791" s="172">
        <f t="shared" si="135"/>
        <v>0</v>
      </c>
      <c r="AO791">
        <f t="shared" si="136"/>
        <v>0</v>
      </c>
      <c r="AP791" t="str">
        <f t="shared" ca="1" si="137"/>
        <v/>
      </c>
      <c r="AQ791" t="str">
        <f t="shared" ca="1" si="138"/>
        <v/>
      </c>
    </row>
    <row r="792" spans="1:43" ht="20.100000000000001" customHeight="1">
      <c r="A792" s="11">
        <f t="shared" si="140"/>
        <v>45797</v>
      </c>
      <c r="C792" s="39"/>
      <c r="Z792" s="154" t="str">
        <f t="shared" si="141"/>
        <v/>
      </c>
      <c r="AE792" s="172">
        <f t="shared" si="139"/>
        <v>3.472222222222222E-3</v>
      </c>
      <c r="AG792" s="154" t="str">
        <f t="shared" si="142"/>
        <v/>
      </c>
      <c r="AK792" t="e">
        <f t="shared" ca="1" si="132"/>
        <v>#N/A</v>
      </c>
      <c r="AL792" t="str">
        <f t="shared" ca="1" si="133"/>
        <v/>
      </c>
      <c r="AM792" t="str">
        <f t="shared" si="134"/>
        <v/>
      </c>
      <c r="AN792" s="172">
        <f t="shared" si="135"/>
        <v>0</v>
      </c>
      <c r="AO792">
        <f t="shared" si="136"/>
        <v>0</v>
      </c>
      <c r="AP792" t="str">
        <f t="shared" ca="1" si="137"/>
        <v/>
      </c>
      <c r="AQ792" t="str">
        <f t="shared" ca="1" si="138"/>
        <v/>
      </c>
    </row>
    <row r="793" spans="1:43" ht="20.100000000000001" customHeight="1">
      <c r="A793" s="11">
        <f t="shared" si="140"/>
        <v>45797</v>
      </c>
      <c r="C793" s="39"/>
      <c r="Z793" s="154" t="str">
        <f t="shared" si="141"/>
        <v/>
      </c>
      <c r="AE793" s="172">
        <f t="shared" si="139"/>
        <v>3.472222222222222E-3</v>
      </c>
      <c r="AG793" s="154" t="str">
        <f t="shared" si="142"/>
        <v/>
      </c>
      <c r="AK793" t="e">
        <f t="shared" ca="1" si="132"/>
        <v>#N/A</v>
      </c>
      <c r="AL793" t="str">
        <f t="shared" ca="1" si="133"/>
        <v/>
      </c>
      <c r="AM793" t="str">
        <f t="shared" si="134"/>
        <v/>
      </c>
      <c r="AN793" s="172">
        <f t="shared" si="135"/>
        <v>0</v>
      </c>
      <c r="AO793">
        <f t="shared" si="136"/>
        <v>0</v>
      </c>
      <c r="AP793" t="str">
        <f t="shared" ca="1" si="137"/>
        <v/>
      </c>
      <c r="AQ793" t="str">
        <f t="shared" ca="1" si="138"/>
        <v/>
      </c>
    </row>
    <row r="794" spans="1:43" ht="20.100000000000001" customHeight="1">
      <c r="A794" s="11">
        <f t="shared" si="140"/>
        <v>45797</v>
      </c>
      <c r="C794" s="39"/>
      <c r="Z794" s="154" t="str">
        <f t="shared" si="141"/>
        <v/>
      </c>
      <c r="AE794" s="172">
        <f t="shared" si="139"/>
        <v>3.472222222222222E-3</v>
      </c>
      <c r="AG794" s="154" t="str">
        <f t="shared" si="142"/>
        <v/>
      </c>
      <c r="AK794" t="e">
        <f t="shared" ca="1" si="132"/>
        <v>#N/A</v>
      </c>
      <c r="AL794" t="str">
        <f t="shared" ca="1" si="133"/>
        <v/>
      </c>
      <c r="AM794" t="str">
        <f t="shared" si="134"/>
        <v/>
      </c>
      <c r="AN794" s="172">
        <f t="shared" si="135"/>
        <v>0</v>
      </c>
      <c r="AO794">
        <f t="shared" si="136"/>
        <v>0</v>
      </c>
      <c r="AP794" t="str">
        <f t="shared" ca="1" si="137"/>
        <v/>
      </c>
      <c r="AQ794" t="str">
        <f t="shared" ca="1" si="138"/>
        <v/>
      </c>
    </row>
    <row r="795" spans="1:43" ht="20.100000000000001" customHeight="1">
      <c r="A795" s="11">
        <f t="shared" si="140"/>
        <v>45797</v>
      </c>
      <c r="C795" s="39"/>
      <c r="Z795" s="154" t="str">
        <f t="shared" si="141"/>
        <v/>
      </c>
      <c r="AE795" s="172">
        <f t="shared" si="139"/>
        <v>3.472222222222222E-3</v>
      </c>
      <c r="AG795" s="154" t="str">
        <f t="shared" si="142"/>
        <v/>
      </c>
      <c r="AK795" t="e">
        <f t="shared" ca="1" si="132"/>
        <v>#N/A</v>
      </c>
      <c r="AL795" t="str">
        <f t="shared" ca="1" si="133"/>
        <v/>
      </c>
      <c r="AM795" t="str">
        <f t="shared" si="134"/>
        <v/>
      </c>
      <c r="AN795" s="172">
        <f t="shared" si="135"/>
        <v>0</v>
      </c>
      <c r="AO795">
        <f t="shared" si="136"/>
        <v>0</v>
      </c>
      <c r="AP795" t="str">
        <f t="shared" ca="1" si="137"/>
        <v/>
      </c>
      <c r="AQ795" t="str">
        <f t="shared" ca="1" si="138"/>
        <v/>
      </c>
    </row>
    <row r="796" spans="1:43" ht="20.100000000000001" customHeight="1">
      <c r="A796" s="11">
        <f t="shared" si="140"/>
        <v>45797</v>
      </c>
      <c r="C796" s="39"/>
      <c r="Z796" s="154" t="str">
        <f t="shared" si="141"/>
        <v/>
      </c>
      <c r="AE796" s="172">
        <f t="shared" si="139"/>
        <v>3.472222222222222E-3</v>
      </c>
      <c r="AG796" s="154" t="str">
        <f t="shared" si="142"/>
        <v/>
      </c>
      <c r="AK796" t="e">
        <f t="shared" ca="1" si="132"/>
        <v>#N/A</v>
      </c>
      <c r="AL796" t="str">
        <f t="shared" ca="1" si="133"/>
        <v/>
      </c>
      <c r="AM796" t="str">
        <f t="shared" si="134"/>
        <v/>
      </c>
      <c r="AN796" s="172">
        <f t="shared" si="135"/>
        <v>0</v>
      </c>
      <c r="AO796">
        <f t="shared" si="136"/>
        <v>0</v>
      </c>
      <c r="AP796" t="str">
        <f t="shared" ca="1" si="137"/>
        <v/>
      </c>
      <c r="AQ796" t="str">
        <f t="shared" ca="1" si="138"/>
        <v/>
      </c>
    </row>
    <row r="797" spans="1:43" ht="20.100000000000001" customHeight="1">
      <c r="A797" s="11">
        <f t="shared" si="140"/>
        <v>45797</v>
      </c>
      <c r="C797" s="39"/>
      <c r="Z797" s="154" t="str">
        <f t="shared" si="141"/>
        <v/>
      </c>
      <c r="AE797" s="172">
        <f t="shared" si="139"/>
        <v>3.472222222222222E-3</v>
      </c>
      <c r="AG797" s="154" t="str">
        <f t="shared" si="142"/>
        <v/>
      </c>
      <c r="AK797" t="e">
        <f t="shared" ca="1" si="132"/>
        <v>#N/A</v>
      </c>
      <c r="AL797" t="str">
        <f t="shared" ca="1" si="133"/>
        <v/>
      </c>
      <c r="AM797" t="str">
        <f t="shared" si="134"/>
        <v/>
      </c>
      <c r="AN797" s="172">
        <f t="shared" si="135"/>
        <v>0</v>
      </c>
      <c r="AO797">
        <f t="shared" si="136"/>
        <v>0</v>
      </c>
      <c r="AP797" t="str">
        <f t="shared" ca="1" si="137"/>
        <v/>
      </c>
      <c r="AQ797" t="str">
        <f t="shared" ca="1" si="138"/>
        <v/>
      </c>
    </row>
    <row r="798" spans="1:43" ht="20.100000000000001" customHeight="1">
      <c r="A798" s="11">
        <f t="shared" si="140"/>
        <v>45797</v>
      </c>
      <c r="C798" s="39"/>
      <c r="Z798" s="154" t="str">
        <f t="shared" si="141"/>
        <v/>
      </c>
      <c r="AE798" s="172">
        <f t="shared" si="139"/>
        <v>3.472222222222222E-3</v>
      </c>
      <c r="AG798" s="154" t="str">
        <f t="shared" si="142"/>
        <v/>
      </c>
      <c r="AK798" t="e">
        <f t="shared" ca="1" si="132"/>
        <v>#N/A</v>
      </c>
      <c r="AL798" t="str">
        <f t="shared" ca="1" si="133"/>
        <v/>
      </c>
      <c r="AM798" t="str">
        <f t="shared" si="134"/>
        <v/>
      </c>
      <c r="AN798" s="172">
        <f t="shared" si="135"/>
        <v>0</v>
      </c>
      <c r="AO798">
        <f t="shared" si="136"/>
        <v>0</v>
      </c>
      <c r="AP798" t="str">
        <f t="shared" ca="1" si="137"/>
        <v/>
      </c>
      <c r="AQ798" t="str">
        <f t="shared" ca="1" si="138"/>
        <v/>
      </c>
    </row>
    <row r="799" spans="1:43" ht="20.100000000000001" customHeight="1">
      <c r="A799" s="11">
        <f t="shared" si="140"/>
        <v>45797</v>
      </c>
      <c r="C799" s="39"/>
      <c r="Z799" s="154" t="str">
        <f t="shared" si="141"/>
        <v/>
      </c>
      <c r="AE799" s="172">
        <f t="shared" si="139"/>
        <v>3.472222222222222E-3</v>
      </c>
      <c r="AG799" s="154" t="str">
        <f t="shared" si="142"/>
        <v/>
      </c>
      <c r="AK799" t="e">
        <f t="shared" ca="1" si="132"/>
        <v>#N/A</v>
      </c>
      <c r="AL799" t="str">
        <f t="shared" ca="1" si="133"/>
        <v/>
      </c>
      <c r="AM799" t="str">
        <f t="shared" si="134"/>
        <v/>
      </c>
      <c r="AN799" s="172">
        <f t="shared" si="135"/>
        <v>0</v>
      </c>
      <c r="AO799">
        <f t="shared" si="136"/>
        <v>0</v>
      </c>
      <c r="AP799" t="str">
        <f t="shared" ca="1" si="137"/>
        <v/>
      </c>
      <c r="AQ799" t="str">
        <f t="shared" ca="1" si="138"/>
        <v/>
      </c>
    </row>
    <row r="800" spans="1:43" ht="20.100000000000001" customHeight="1">
      <c r="A800" s="11">
        <f t="shared" si="140"/>
        <v>45797</v>
      </c>
      <c r="C800" s="39"/>
      <c r="Z800" s="154" t="str">
        <f t="shared" si="141"/>
        <v/>
      </c>
      <c r="AE800" s="172">
        <f t="shared" si="139"/>
        <v>3.472222222222222E-3</v>
      </c>
      <c r="AG800" s="154" t="str">
        <f t="shared" si="142"/>
        <v/>
      </c>
      <c r="AK800" t="e">
        <f t="shared" ca="1" si="132"/>
        <v>#N/A</v>
      </c>
      <c r="AL800" t="str">
        <f t="shared" ca="1" si="133"/>
        <v/>
      </c>
      <c r="AM800" t="str">
        <f t="shared" si="134"/>
        <v/>
      </c>
      <c r="AN800" s="172">
        <f t="shared" si="135"/>
        <v>0</v>
      </c>
      <c r="AO800">
        <f t="shared" si="136"/>
        <v>0</v>
      </c>
      <c r="AP800" t="str">
        <f t="shared" ca="1" si="137"/>
        <v/>
      </c>
      <c r="AQ800" t="str">
        <f t="shared" ca="1" si="138"/>
        <v/>
      </c>
    </row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800 B5:B800 I5:I800 L5:N800 P5:Q800">
    <cfRule type="expression" dxfId="152" priority="30">
      <formula>$AI5=INDIRECT($AK$3&amp;"!$K$3")</formula>
    </cfRule>
  </conditionalFormatting>
  <conditionalFormatting sqref="X5:X800 AI5:AI800 L5:L800 B5:B800 I5:J800 N5:N800 P5:P800">
    <cfRule type="expression" dxfId="151" priority="28">
      <formula>$AI5=INDIRECT($AK$3&amp;"!$K$4")</formula>
    </cfRule>
  </conditionalFormatting>
  <conditionalFormatting sqref="A5:AJ800">
    <cfRule type="expression" dxfId="150" priority="1">
      <formula>$A5&lt;TODAY()</formula>
    </cfRule>
  </conditionalFormatting>
  <conditionalFormatting sqref="P5:S800">
    <cfRule type="expression" dxfId="149" priority="51">
      <formula>OR($O5=INDIRECT($AK$3&amp;"!$C$3"),$O5=INDIRECT($AK$3&amp;"!$C$17"),$O5=INDIRECT($AK$3&amp;"!$C$18"),$O5=INDIRECT($AK$3&amp;"!$C$21"))</formula>
    </cfRule>
  </conditionalFormatting>
  <conditionalFormatting sqref="V5:AI800">
    <cfRule type="expression" dxfId="148" priority="10">
      <formula>OR($V5=INDIRECT($AK$3&amp;"!$E$5"),$V5=INDIRECT($AK$3&amp;"!$E$6"))</formula>
    </cfRule>
  </conditionalFormatting>
  <conditionalFormatting sqref="T5:T800">
    <cfRule type="notContainsBlanks" dxfId="147" priority="104">
      <formula>LEN(TRIM(T5))&gt;0</formula>
    </cfRule>
    <cfRule type="expression" dxfId="146" priority="118">
      <formula>OR($O5=INDIRECT($AK$3&amp;"!$C$3"),$O5=INDIRECT($AK$3&amp;"!$C$17"),$O5=INDIRECT($AK$3&amp;"!$C$18"))</formula>
    </cfRule>
  </conditionalFormatting>
  <conditionalFormatting sqref="U5:U800">
    <cfRule type="expression" dxfId="145" priority="98">
      <formula>AND($V5&lt;&gt;"",$U5&lt;&gt;"",$V5&lt;&gt;"Chat中")</formula>
    </cfRule>
    <cfRule type="expression" dxfId="144" priority="99">
      <formula>AND($T5&lt;&gt;"",TEXT(NOW(),"h:mm")*1 &gt;= $T5+TIME(0,5,0) )</formula>
    </cfRule>
  </conditionalFormatting>
  <conditionalFormatting sqref="Y5:Y800">
    <cfRule type="notContainsBlanks" dxfId="143" priority="54">
      <formula>LEN(TRIM(Y5))&gt;0</formula>
    </cfRule>
    <cfRule type="expression" dxfId="142" priority="103">
      <formula>AND($V5=INDIRECT($AK$3&amp;"!$E$3"),$D5&lt;&gt;"トラブル報告")</formula>
    </cfRule>
    <cfRule type="expression" dxfId="141" priority="106">
      <formula>AND($O5=INDIRECT($AK$3&amp;"!$C$3"),$V5=INDIRECT($AK$3&amp;"!$E$3"))</formula>
    </cfRule>
  </conditionalFormatting>
  <conditionalFormatting sqref="Z5:Z800">
    <cfRule type="expression" dxfId="140" priority="91">
      <formula>AND($AA5&lt;&gt;"",$Y5&lt;&gt;"",$AA5&lt;&gt;"Chat中")</formula>
    </cfRule>
    <cfRule type="expression" dxfId="139" priority="92">
      <formula>AND($Y5&lt;&gt;"",TEXT(NOW(),"h:mm")*1 &gt;= $Y5+TIME(0,5,0) )</formula>
    </cfRule>
  </conditionalFormatting>
  <conditionalFormatting sqref="V5:V800">
    <cfRule type="expression" dxfId="138" priority="46">
      <formula>OR($V5=INDIRECT($AK$3&amp;"!$E$13"),$V5=INDIRECT($AK$3&amp;"!$E$14"))</formula>
    </cfRule>
    <cfRule type="expression" dxfId="137" priority="50">
      <formula>$V5=INDIRECT($AK$3&amp;"!$E$2")</formula>
    </cfRule>
    <cfRule type="expression" dxfId="136" priority="94">
      <formula>$V5=INDIRECT($AK$3&amp;"!$E$12")</formula>
    </cfRule>
    <cfRule type="expression" dxfId="135" priority="96">
      <formula>OR($V5=INDIRECT($AK$3&amp;"!$E$3"),$V5=INDIRECT($AK$3&amp;"!$E$4"),$V5=INDIRECT($AK$3&amp;"!$E$15"))</formula>
    </cfRule>
    <cfRule type="expression" dxfId="134" priority="97">
      <formula>$D5="トラブル報告"</formula>
    </cfRule>
  </conditionalFormatting>
  <conditionalFormatting sqref="X5:X800">
    <cfRule type="expression" dxfId="133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32" priority="60">
      <formula>OR($AA5=INDIRECT($AK$3&amp;"!$G$3"),$AA5=INDIRECT($AK$3&amp;"!$G$4"),$AA5=INDIRECT($AK$3&amp;"!$G$7"),$AA5=INDIRECT($AK$3&amp;"!$G$8"))</formula>
    </cfRule>
    <cfRule type="expression" dxfId="131" priority="64">
      <formula>$AB5=INDIRECT($AK$3&amp;"!$I$9")</formula>
    </cfRule>
    <cfRule type="expression" dxfId="130" priority="78">
      <formula>($AB5=INDIRECT($AK$3&amp;"!$I$8"))</formula>
    </cfRule>
    <cfRule type="expression" dxfId="129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800">
    <cfRule type="expression" dxfId="128" priority="33">
      <formula>OR($AA5=INDIRECT($AK$3&amp;"!$G$3"),$AA5=INDIRECT($AK$3&amp;"!$G$15"))</formula>
    </cfRule>
    <cfRule type="expression" dxfId="127" priority="55">
      <formula>$AA5=INDIRECT($AK$3&amp;"!$G$2")</formula>
    </cfRule>
    <cfRule type="expression" dxfId="126" priority="71">
      <formula>$AA5=INDIRECT($AK$3&amp;"!$G$14")</formula>
    </cfRule>
    <cfRule type="expression" dxfId="125" priority="74">
      <formula>$AA5=INDIRECT($AK$3&amp;"!$G$5")</formula>
    </cfRule>
    <cfRule type="expression" dxfId="124" priority="76">
      <formula>OR($AA5=INDIRECT($AK$3&amp;"!$G$4"),$AA5=INDIRECT($AK$3&amp;"!$G$7"),$AA5=INDIRECT($AK$3&amp;"!$G$8"))</formula>
    </cfRule>
    <cfRule type="expression" dxfId="123" priority="89">
      <formula>AND($V5=INDIRECT($AK$3&amp;"!$E$3"),$Y5&gt;0)</formula>
    </cfRule>
    <cfRule type="expression" dxfId="122" priority="90">
      <formula>$AA5=INDIRECT($AK$3&amp;"!$G$6")</formula>
    </cfRule>
  </conditionalFormatting>
  <conditionalFormatting sqref="X5:X800 AA5:AA800 D5:D800 I5:J800 L5:M800 P5:Q800">
    <cfRule type="expression" dxfId="121" priority="62">
      <formula>$AA5=INDIRECT($AK$3&amp;"!$G$11")</formula>
    </cfRule>
  </conditionalFormatting>
  <conditionalFormatting sqref="O5:O800">
    <cfRule type="expression" dxfId="120" priority="15">
      <formula>$O5="DSレスキュー済"</formula>
    </cfRule>
    <cfRule type="expression" dxfId="119" priority="25">
      <formula>AND($I5&gt;0,$O5="")</formula>
    </cfRule>
    <cfRule type="expression" dxfId="118" priority="63">
      <formula>$O5=INDIRECT($AK$3&amp;"!$C$15")</formula>
    </cfRule>
    <cfRule type="expression" dxfId="117" priority="85">
      <formula>OR($O5=INDIRECT($AK$3&amp;"!$C$3"),$O5=INDIRECT($AK$3&amp;"!$C$17"),$O5=INDIRECT($AK$3&amp;"!$C$18"),$O5=INDIRECT($AK$3&amp;"!$C$21"))</formula>
    </cfRule>
  </conditionalFormatting>
  <conditionalFormatting sqref="P5:P800">
    <cfRule type="containsText" dxfId="116" priority="21" operator="containsText" text="UXへのみ可">
      <formula>NOT(ISERROR(SEARCH("UXへのみ可",P5)))</formula>
    </cfRule>
    <cfRule type="containsText" dxfId="115" priority="24" operator="containsText" text="使用可">
      <formula>NOT(ISERROR(SEARCH("使用可",P5)))</formula>
    </cfRule>
  </conditionalFormatting>
  <conditionalFormatting sqref="Q5:Q800">
    <cfRule type="notContainsBlanks" dxfId="114" priority="117">
      <formula>LEN(TRIM(Q5))&gt;0</formula>
    </cfRule>
  </conditionalFormatting>
  <conditionalFormatting sqref="N5:N799">
    <cfRule type="expression" priority="83">
      <formula>$C5=""</formula>
    </cfRule>
    <cfRule type="expression" dxfId="113" priority="84">
      <formula>OR($C5=$C4,$C5=$C6)</formula>
    </cfRule>
  </conditionalFormatting>
  <conditionalFormatting sqref="U5:V800">
    <cfRule type="expression" dxfId="112" priority="102">
      <formula>$T5&lt;&gt;""</formula>
    </cfRule>
  </conditionalFormatting>
  <conditionalFormatting sqref="Z5:AA800">
    <cfRule type="expression" dxfId="111" priority="100">
      <formula>$Y5&lt;&gt;""</formula>
    </cfRule>
  </conditionalFormatting>
  <conditionalFormatting sqref="AB5:AB800">
    <cfRule type="expression" dxfId="110" priority="66">
      <formula>$AB5=INDIRECT($AK$3&amp;"!$I$10")</formula>
    </cfRule>
    <cfRule type="expression" dxfId="109" priority="69">
      <formula>$AB5=INDIRECT($AK$3&amp;"!$I$13")</formula>
    </cfRule>
    <cfRule type="expression" dxfId="108" priority="70">
      <formula>OR($AB5=INDIRECT($AK$3&amp;"!$I$9"),$AB5=INDIRECT($AK$3&amp;"!$I$11"),$AB5=INDIRECT($AK$3&amp;"!$I$12"))</formula>
    </cfRule>
    <cfRule type="expression" dxfId="107" priority="79">
      <formula>OR($AB5=INDIRECT($AK$3&amp;"!$I$8"),$AB5=INDIRECT($AK$3&amp;"!$I$14"))</formula>
    </cfRule>
    <cfRule type="expression" dxfId="106" priority="88">
      <formula>OR($AA5=INDIRECT($AK$3&amp;"!$G$14"),$V5=INDIRECT($AK$3&amp;"!$E$4"),AND($V5=INDIRECT($AK$3&amp;"!$E$3"),$D5="トラブル報告"))</formula>
    </cfRule>
    <cfRule type="expression" dxfId="105" priority="101">
      <formula>AND($Y5&gt;0,$AB5="")</formula>
    </cfRule>
  </conditionalFormatting>
  <conditionalFormatting sqref="AG5:AG800">
    <cfRule type="expression" dxfId="104" priority="75">
      <formula>OR($AG5="-",$AG5="ー",AG5="‐",AG54="－")</formula>
    </cfRule>
    <cfRule type="expression" dxfId="103" priority="77">
      <formula>AND(_xlfn.ISFORMULA($AG5)=FALSE,ISNUMBER($AG5)=FALSE)</formula>
    </cfRule>
    <cfRule type="expression" dxfId="102" priority="80">
      <formula>OR(_xlfn.ISFORMULA($AG5)=FALSE,$AG5="-")</formula>
    </cfRule>
  </conditionalFormatting>
  <conditionalFormatting sqref="AD5:AD800 AF5:AF800">
    <cfRule type="expression" dxfId="101" priority="120">
      <formula>OR($AA5=INDIRECT($AK$3&amp;"!$G$3"),$AA5=INDIRECT($AK$3&amp;"!$G$3"),$AB5=INDIRECT($AK$3&amp;"!$I$8"))</formula>
    </cfRule>
  </conditionalFormatting>
  <conditionalFormatting sqref="AD5:AD800">
    <cfRule type="notContainsBlanks" dxfId="100" priority="105">
      <formula>LEN(TRIM(AD5))&gt;0</formula>
    </cfRule>
  </conditionalFormatting>
  <conditionalFormatting sqref="AF5:AF800">
    <cfRule type="notContainsBlanks" dxfId="99" priority="119">
      <formula>LEN(TRIM(AF5))&gt;0</formula>
    </cfRule>
  </conditionalFormatting>
  <conditionalFormatting sqref="AG5:AH800">
    <cfRule type="expression" dxfId="98" priority="87">
      <formula>AND($AF5&lt;&gt;"",TEXT(NOW(),"h:mm")*1 &gt;= $AG5+TIME(0,0,0) )</formula>
    </cfRule>
    <cfRule type="expression" dxfId="97" priority="121">
      <formula>OR($AF5&lt;&gt;"",$O5=INDIRECT($AK$3&amp;"!$C$8"))</formula>
    </cfRule>
  </conditionalFormatting>
  <conditionalFormatting sqref="AH5:AH800">
    <cfRule type="notContainsBlanks" dxfId="96" priority="82">
      <formula>LEN(TRIM(AH5))&gt;0</formula>
    </cfRule>
  </conditionalFormatting>
  <conditionalFormatting sqref="X5:AF800 O5:S800">
    <cfRule type="expression" dxfId="95" priority="7">
      <formula>$O5=INDIRECT($AK$3&amp;"!$C$8")</formula>
    </cfRule>
  </conditionalFormatting>
  <conditionalFormatting sqref="T5:W800">
    <cfRule type="expression" dxfId="94" priority="18">
      <formula>AND($V5="",OR($O5=INDIRECT($AK$3&amp;"!$C$5"),$O5=INDIRECT($AK$3&amp;"!$C$6"),$O5=INDIRECT($AK$3&amp;"!$C$8")))</formula>
    </cfRule>
  </conditionalFormatting>
  <conditionalFormatting sqref="O5:AI800">
    <cfRule type="expression" dxfId="93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800">
    <cfRule type="expression" dxfId="92" priority="32">
      <formula>$AA5=INDIRECT($AK$3&amp;"!$G$4")</formula>
    </cfRule>
  </conditionalFormatting>
  <conditionalFormatting sqref="AC5:AC800">
    <cfRule type="expression" dxfId="91" priority="53">
      <formula>OR($AA5=INDIRECT($AK$3&amp;"!$G$5"),$AB5=INDIRECT($AK$3&amp;"!$I$13"))</formula>
    </cfRule>
  </conditionalFormatting>
  <conditionalFormatting sqref="E5:E800">
    <cfRule type="expression" dxfId="90" priority="48">
      <formula>$O5&lt;&gt;""</formula>
    </cfRule>
    <cfRule type="expression" dxfId="89" priority="49">
      <formula>AND(TEXT(NOW(),"h:mm")*1 &gt;= $E5+TIME(0,10,0),$E5&gt;0)</formula>
    </cfRule>
  </conditionalFormatting>
  <conditionalFormatting sqref="L5:L800">
    <cfRule type="expression" dxfId="88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7" priority="47">
      <formula>AND($A5=TODAY(),COUNTIF(INDIRECT($AN$3),X5)&gt;1,$L5&gt;0)</formula>
    </cfRule>
    <cfRule type="expression" dxfId="86" priority="57">
      <formula>AND($A5=TODAY(),COUNTIF(INDIRECT($AL$3),L5)&gt;1)</formula>
    </cfRule>
  </conditionalFormatting>
  <conditionalFormatting sqref="AI2">
    <cfRule type="cellIs" dxfId="85" priority="44" operator="equal">
      <formula>0</formula>
    </cfRule>
    <cfRule type="cellIs" dxfId="84" priority="45" operator="greaterThan">
      <formula>0</formula>
    </cfRule>
  </conditionalFormatting>
  <conditionalFormatting sqref="A2:E2">
    <cfRule type="cellIs" dxfId="83" priority="42" operator="equal">
      <formula>0</formula>
    </cfRule>
    <cfRule type="cellIs" dxfId="82" priority="43" operator="greaterThan">
      <formula>0</formula>
    </cfRule>
  </conditionalFormatting>
  <conditionalFormatting sqref="U2:V2 Z2:AB2">
    <cfRule type="cellIs" dxfId="81" priority="40" operator="equal">
      <formula>0</formula>
    </cfRule>
    <cfRule type="cellIs" dxfId="80" priority="41" operator="greaterThan">
      <formula>0</formula>
    </cfRule>
  </conditionalFormatting>
  <conditionalFormatting sqref="O2">
    <cfRule type="cellIs" dxfId="79" priority="38" operator="equal">
      <formula>0</formula>
    </cfRule>
    <cfRule type="cellIs" dxfId="78" priority="39" operator="greaterThan">
      <formula>0</formula>
    </cfRule>
  </conditionalFormatting>
  <conditionalFormatting sqref="H2:I2">
    <cfRule type="cellIs" dxfId="77" priority="36" operator="equal">
      <formula>0</formula>
    </cfRule>
    <cfRule type="cellIs" dxfId="76" priority="37" operator="greaterThan">
      <formula>1</formula>
    </cfRule>
  </conditionalFormatting>
  <conditionalFormatting sqref="T2">
    <cfRule type="cellIs" dxfId="75" priority="34" operator="equal">
      <formula>0</formula>
    </cfRule>
    <cfRule type="cellIs" dxfId="74" priority="35" operator="greaterThan">
      <formula>1</formula>
    </cfRule>
  </conditionalFormatting>
  <conditionalFormatting sqref="I5:I800">
    <cfRule type="expression" dxfId="73" priority="22">
      <formula>$AQ5="DSレスキュー済"</formula>
    </cfRule>
    <cfRule type="expression" dxfId="72" priority="95">
      <formula>AND($A5=TODAY(), COUNTIF(INDIRECT($AO$3), $I5)&gt;1, SUMPRODUCT(($A$5:$A$800=TODAY()) * ($I$5:$I$800=$I5) * (ISBLANK($O$5:$O$800))) &gt; 0)</formula>
    </cfRule>
  </conditionalFormatting>
  <conditionalFormatting sqref="X5:X800 AA5:AA800 D5:D800 I5:J800 L5:N800 P5:Q800">
    <cfRule type="expression" dxfId="71" priority="58">
      <formula>$AA5=INDIRECT($AK$3&amp;"!$G$13")</formula>
    </cfRule>
    <cfRule type="expression" dxfId="70" priority="59">
      <formula>$AA5=INDIRECT($AK$3&amp;"!$G$12")</formula>
    </cfRule>
    <cfRule type="expression" dxfId="69" priority="67">
      <formula>$AA5=INDIRECT($AK$3&amp;"!$G$10")</formula>
    </cfRule>
    <cfRule type="expression" dxfId="68" priority="68">
      <formula>$AA5=INDIRECT($AK$3&amp;"!$G$9")</formula>
    </cfRule>
  </conditionalFormatting>
  <conditionalFormatting sqref="X5:X800 AB5:AB800 D5:D800 I5:J800 L5:N800 P5:Q800">
    <cfRule type="expression" dxfId="67" priority="29">
      <formula>$AB5=INDIRECT($AK$3&amp;"!$I$7")</formula>
    </cfRule>
    <cfRule type="expression" dxfId="66" priority="31">
      <formula>$AB5=INDIRECT($AK$3&amp;"!$I$6")</formula>
    </cfRule>
    <cfRule type="expression" dxfId="65" priority="56">
      <formula>$AB5=INDIRECT($AK$3&amp;"!$I$5")</formula>
    </cfRule>
    <cfRule type="expression" dxfId="64" priority="61">
      <formula>$AB5=INDIRECT($AK$3&amp;"!$I$4")</formula>
    </cfRule>
    <cfRule type="expression" dxfId="63" priority="65">
      <formula>$AB5=INDIRECT($AK$3&amp;"!$I$3")</formula>
    </cfRule>
  </conditionalFormatting>
  <conditionalFormatting sqref="V5:V800 D5:D800 I5:J800 N5:N800">
    <cfRule type="expression" dxfId="62" priority="52">
      <formula>$V5=INDIRECT($AK$3&amp;"!$E$11")</formula>
    </cfRule>
    <cfRule type="expression" dxfId="61" priority="72">
      <formula>$V5=INDIRECT($AK$3&amp;"!$E$10")</formula>
    </cfRule>
    <cfRule type="expression" dxfId="60" priority="73">
      <formula>$V5=INDIRECT($AK$3&amp;"!$E$9")</formula>
    </cfRule>
    <cfRule type="expression" dxfId="59" priority="81">
      <formula>$V5=INDIRECT($AK$3&amp;"!$E$8")</formula>
    </cfRule>
    <cfRule type="expression" dxfId="58" priority="93">
      <formula>$V5=INDIRECT($AK$3&amp;"!$E$7")</formula>
    </cfRule>
  </conditionalFormatting>
  <conditionalFormatting sqref="B5:N800">
    <cfRule type="expression" priority="9">
      <formula>$D5="トラブル報告"</formula>
    </cfRule>
    <cfRule type="expression" dxfId="57" priority="19">
      <formula>ISNUMBER(MATCH($B5,INDIRECT($AK$4&amp;"!$Q$3:$Q$17"),0))</formula>
    </cfRule>
    <cfRule type="expression" dxfId="56" priority="20">
      <formula>TEXT(NOW(),"h:mm")&lt;TEXT($AL5,"h:mm")</formula>
    </cfRule>
  </conditionalFormatting>
  <conditionalFormatting sqref="B5:C800 N5:N800">
    <cfRule type="expression" dxfId="55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54" priority="27">
      <formula>AND($A5=TODAY(),$AF5="",OR($O5=INDIRECT($AK$3&amp;"!$C$3"),$O5=INDIRECT($AK$3&amp;"!$C$17"),$O5=INDIRECT($AK$3&amp;"!$C$18")))</formula>
    </cfRule>
  </conditionalFormatting>
  <conditionalFormatting sqref="S5:S800 B5:C800 N5:N800">
    <cfRule type="expression" dxfId="53" priority="107">
      <formula>$S5=$AW$2</formula>
    </cfRule>
    <cfRule type="expression" dxfId="52" priority="108">
      <formula>$S5=$AV$2</formula>
    </cfRule>
    <cfRule type="expression" dxfId="51" priority="109">
      <formula>$S5=$AU$2</formula>
    </cfRule>
    <cfRule type="expression" dxfId="50" priority="110">
      <formula>$S5=$AT$2</formula>
    </cfRule>
    <cfRule type="expression" dxfId="49" priority="111">
      <formula>$S5=$AS$2</formula>
    </cfRule>
  </conditionalFormatting>
  <conditionalFormatting sqref="N800">
    <cfRule type="expression" priority="112">
      <formula>$C800=""</formula>
    </cfRule>
    <cfRule type="expression" dxfId="48" priority="113">
      <formula>OR($C800=$C799,$C800=#REF!)</formula>
    </cfRule>
  </conditionalFormatting>
  <conditionalFormatting sqref="AG752:AG800">
    <cfRule type="expression" dxfId="47" priority="114">
      <formula>OR($AG752="-",$AG752="ー",AG752="‐",#REF!="－")</formula>
    </cfRule>
    <cfRule type="expression" dxfId="46" priority="115">
      <formula>AND(_xlfn.ISFORMULA($AG752)=FALSE,ISNUMBER($AG752)=FALSE)</formula>
    </cfRule>
    <cfRule type="expression" dxfId="45" priority="116">
      <formula>OR(_xlfn.ISFORMULA($AG752)=FALSE,$AG752="-")</formula>
    </cfRule>
  </conditionalFormatting>
  <conditionalFormatting sqref="D5:D800">
    <cfRule type="containsText" dxfId="44" priority="8" operator="containsText" text="トラブル報告">
      <formula>NOT(ISERROR(SEARCH("トラブル報告",D5)))</formula>
    </cfRule>
  </conditionalFormatting>
  <conditionalFormatting sqref="AJ5:AJ800">
    <cfRule type="notContainsBlanks" dxfId="43" priority="14">
      <formula>LEN(TRIM(AJ5))&gt;0</formula>
    </cfRule>
    <cfRule type="expression" dxfId="42" priority="122">
      <formula>IF($D5&lt;&gt;"トラブル報告",$AF5)</formula>
    </cfRule>
  </conditionalFormatting>
  <conditionalFormatting sqref="O5:AJ800">
    <cfRule type="expression" dxfId="41" priority="2">
      <formula>$O5="トラブル報告"</formula>
    </cfRule>
  </conditionalFormatting>
  <conditionalFormatting sqref="A6:A800">
    <cfRule type="expression" dxfId="40" priority="17">
      <formula>$A6&lt;TODAY()</formula>
    </cfRule>
  </conditionalFormatting>
  <conditionalFormatting sqref="N5:N800">
    <cfRule type="expression" dxfId="39" priority="23">
      <formula>COUNTIFS($P5,"UXへのみ可",$N5,"&lt;&gt;*UX*")</formula>
    </cfRule>
  </conditionalFormatting>
  <conditionalFormatting sqref="P5:P800">
    <cfRule type="expression" dxfId="38" priority="16">
      <formula>IF(AND($B5&lt;&gt;"",$L5&lt;&gt;""),COUNTIF(INDIRECT($AK$4&amp;"!$AK$8:$AK$500"),$L5)&gt;1)</formula>
    </cfRule>
  </conditionalFormatting>
  <conditionalFormatting sqref="B5:P800">
    <cfRule type="expression" dxfId="37" priority="13">
      <formula>$AQ5="DSレスキュー済"</formula>
    </cfRule>
  </conditionalFormatting>
  <conditionalFormatting sqref="P1:S2">
    <cfRule type="containsText" dxfId="36" priority="4" operator="containsText" text="OK">
      <formula>NOT(ISERROR(SEARCH("OK",P1)))</formula>
    </cfRule>
    <cfRule type="containsText" dxfId="35" priority="5" operator="containsText" text="NG">
      <formula>NOT(ISERROR(SEARCH("NG",P1)))</formula>
    </cfRule>
  </conditionalFormatting>
  <conditionalFormatting sqref="J1">
    <cfRule type="expression" dxfId="34" priority="3">
      <formula>$J$1&lt;&gt;""</formula>
    </cfRule>
  </conditionalFormatting>
  <dataValidations count="9">
    <dataValidation type="list" allowBlank="1" showInputMessage="1" showErrorMessage="1" sqref="AB5:AB800" xr:uid="{4D6A99DB-E208-4B89-9575-F8B6C43B9E26}">
      <formula1>INDIRECT($AK$3&amp;"!$I$3:$I$14")</formula1>
    </dataValidation>
    <dataValidation type="list" allowBlank="1" showInputMessage="1" showErrorMessage="1" sqref="AA5:AA800" xr:uid="{339AB710-80ED-499B-82AA-5FEF68941BFA}">
      <formula1>INDIRECT($AK$3&amp;"!$G$2:$G$15")</formula1>
    </dataValidation>
    <dataValidation type="list" allowBlank="1" showInputMessage="1" showErrorMessage="1" sqref="O5:O800" xr:uid="{E14E0B16-77D0-4EEF-8AA1-D933A36B827E}">
      <formula1>INDIRECT($AK$3&amp;"!$Q$3:$Q$16")</formula1>
    </dataValidation>
    <dataValidation type="list" allowBlank="1" showInputMessage="1" sqref="AC5:AC800" xr:uid="{065D003D-ED20-40FD-A733-296B90FDE915}">
      <formula1>INDIRECT($AK$3&amp;"!$O$3")</formula1>
    </dataValidation>
    <dataValidation type="list" allowBlank="1" showInputMessage="1" sqref="W5:W800" xr:uid="{86FBBD6B-60C5-4CA3-8C1E-6B0DD614B6D9}">
      <formula1>INDIRECT($AK$3&amp;"!$M$3")</formula1>
    </dataValidation>
    <dataValidation type="list" allowBlank="1" showInputMessage="1" showErrorMessage="1" sqref="V5:V800" xr:uid="{02102C7B-18D5-44AA-8D9F-E2517557698E}">
      <formula1>INDIRECT($AK$3&amp;"!$E$2:$E$15")</formula1>
    </dataValidation>
    <dataValidation type="list" allowBlank="1" showInputMessage="1" showErrorMessage="1" sqref="O801:O1048576" xr:uid="{4F1426A2-06D5-43C2-A7C5-4C7047DDF16B}">
      <formula1>INDIRECT($AK$3&amp;"!$C$3:$C$11")</formula1>
    </dataValidation>
    <dataValidation type="list" allowBlank="1" showInputMessage="1" sqref="AI5:AI800" xr:uid="{2A1F1A8E-02F0-4E5C-8BD6-3D56BDB8E983}">
      <formula1>INDIRECT($AK$3&amp;"!$K$3:$K$4")</formula1>
    </dataValidation>
    <dataValidation type="list" allowBlank="1" showDropDown="1" showInputMessage="1" sqref="AA4 V4:W4" xr:uid="{3C76E8E4-D10A-4FA6-8B29-59A049B45186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6168A-3CD5-4B13-9151-31AD37584DB5}">
  <sheetPr codeName="Sheet3"/>
  <dimension ref="A1:AP501"/>
  <sheetViews>
    <sheetView zoomScale="70" zoomScaleNormal="70" workbookViewId="0" xr3:uid="{084C37E7-44BE-5BEA-8E33-0420BD3F264E}">
      <selection activeCell="B14" sqref="B14"/>
    </sheetView>
  </sheetViews>
  <sheetFormatPr defaultColWidth="8.625" defaultRowHeight="18.75"/>
  <cols>
    <col min="1" max="1" width="15.625" style="33" bestFit="1" customWidth="1"/>
    <col min="2" max="2" width="8.625" style="33"/>
    <col min="3" max="3" width="13.125" style="33" customWidth="1"/>
    <col min="4" max="4" width="17.125" style="33" customWidth="1"/>
    <col min="5" max="5" width="10.125" style="33" customWidth="1"/>
    <col min="6" max="8" width="8.625" style="33"/>
    <col min="9" max="9" width="8.625" style="39"/>
    <col min="10" max="10" width="16.625" style="49" customWidth="1"/>
    <col min="11" max="11" width="19.5" style="49" customWidth="1"/>
    <col min="12" max="12" width="17.125" style="49" customWidth="1"/>
    <col min="13" max="13" width="23" style="49" customWidth="1"/>
    <col min="14" max="15" width="17.125" style="49" hidden="1" customWidth="1"/>
    <col min="16" max="16" width="11.5" style="33" hidden="1" customWidth="1"/>
    <col min="17" max="17" width="12.625" style="33" customWidth="1"/>
    <col min="18" max="18" width="3.625" style="33" customWidth="1"/>
    <col min="19" max="19" width="8.625" style="33" hidden="1" customWidth="1"/>
    <col min="20" max="21" width="9.125" style="33" hidden="1" customWidth="1"/>
    <col min="22" max="22" width="5.5" style="33" hidden="1" customWidth="1"/>
    <col min="23" max="23" width="9.625" style="33" hidden="1" customWidth="1"/>
    <col min="24" max="24" width="3.125" style="33" customWidth="1"/>
    <col min="25" max="25" width="8.625" style="154"/>
    <col min="26" max="26" width="8.625" style="33"/>
    <col min="27" max="27" width="15.125" style="33" bestFit="1" customWidth="1"/>
    <col min="28" max="28" width="11.5" style="33" customWidth="1"/>
    <col min="29" max="29" width="4" style="33" customWidth="1"/>
    <col min="30" max="30" width="8.625" style="33"/>
    <col min="31" max="31" width="0" style="33" hidden="1" customWidth="1"/>
    <col min="32" max="33" width="8.625" style="33"/>
    <col min="34" max="34" width="11.625" style="33" bestFit="1" customWidth="1"/>
    <col min="35" max="35" width="32.625" style="33" customWidth="1"/>
    <col min="36" max="36" width="8.625" style="33"/>
    <col min="37" max="37" width="8.625" style="33" hidden="1" customWidth="1"/>
    <col min="38" max="38" width="9.625" style="33" hidden="1" customWidth="1"/>
    <col min="39" max="41" width="8.625" style="33" hidden="1" customWidth="1"/>
    <col min="42" max="42" width="0" style="33" hidden="1" customWidth="1"/>
    <col min="43" max="16384" width="8.625" style="33"/>
  </cols>
  <sheetData>
    <row r="1" spans="1:42" s="32" customFormat="1" ht="23.85" customHeight="1" thickBot="1">
      <c r="A1" s="225" t="s">
        <v>186</v>
      </c>
      <c r="B1" s="226" t="s">
        <v>187</v>
      </c>
      <c r="C1" s="227"/>
      <c r="D1" s="227"/>
      <c r="E1" s="227"/>
      <c r="F1" s="227"/>
      <c r="G1" s="227"/>
      <c r="H1" s="227"/>
      <c r="I1" s="227"/>
      <c r="J1" s="228"/>
      <c r="K1" s="103" t="s">
        <v>188</v>
      </c>
      <c r="L1" s="104"/>
      <c r="M1" s="230" t="s">
        <v>189</v>
      </c>
      <c r="N1" s="73">
        <v>2</v>
      </c>
      <c r="O1" s="77" t="s">
        <v>190</v>
      </c>
      <c r="P1" s="71"/>
      <c r="Q1" s="96">
        <v>45801</v>
      </c>
      <c r="S1" s="33"/>
      <c r="T1" s="33"/>
      <c r="U1" s="33"/>
      <c r="V1" s="33"/>
      <c r="W1" s="33"/>
      <c r="Y1" s="213" t="s">
        <v>191</v>
      </c>
      <c r="Z1" s="214"/>
      <c r="AA1" s="214"/>
      <c r="AB1" s="215"/>
      <c r="AD1" s="216" t="s">
        <v>192</v>
      </c>
      <c r="AE1" s="217"/>
      <c r="AF1" s="217"/>
      <c r="AG1" s="217"/>
      <c r="AH1" s="217"/>
      <c r="AI1" s="218"/>
      <c r="AK1" s="130" t="s">
        <v>193</v>
      </c>
      <c r="AL1" s="131" t="s">
        <v>194</v>
      </c>
    </row>
    <row r="2" spans="1:42" ht="23.85" customHeight="1" thickBot="1">
      <c r="A2" s="225"/>
      <c r="B2" s="229"/>
      <c r="C2" s="227"/>
      <c r="D2" s="227"/>
      <c r="E2" s="227"/>
      <c r="F2" s="227"/>
      <c r="G2" s="227"/>
      <c r="H2" s="227"/>
      <c r="I2" s="227"/>
      <c r="J2" s="228"/>
      <c r="K2" s="54" t="s">
        <v>195</v>
      </c>
      <c r="L2" s="52" t="s">
        <v>196</v>
      </c>
      <c r="M2" s="231"/>
      <c r="N2" s="51" t="s">
        <v>8</v>
      </c>
      <c r="O2" s="78" t="s">
        <v>197</v>
      </c>
      <c r="P2" s="71"/>
      <c r="Q2" s="99" t="s">
        <v>198</v>
      </c>
      <c r="Y2" s="160" t="s">
        <v>199</v>
      </c>
      <c r="Z2" s="117" t="s">
        <v>156</v>
      </c>
      <c r="AA2" s="117" t="s">
        <v>200</v>
      </c>
      <c r="AB2" s="117" t="s">
        <v>201</v>
      </c>
      <c r="AC2" s="34"/>
      <c r="AD2" s="92" t="s">
        <v>202</v>
      </c>
      <c r="AE2" s="93" t="s">
        <v>203</v>
      </c>
      <c r="AF2" s="92" t="s">
        <v>204</v>
      </c>
      <c r="AG2" s="92" t="s">
        <v>205</v>
      </c>
      <c r="AH2" s="92" t="s">
        <v>206</v>
      </c>
      <c r="AI2" s="92" t="s">
        <v>207</v>
      </c>
    </row>
    <row r="3" spans="1:42" ht="23.1" customHeight="1">
      <c r="A3" s="221">
        <v>45801</v>
      </c>
      <c r="B3" s="222" t="s">
        <v>208</v>
      </c>
      <c r="C3" s="223"/>
      <c r="D3" s="223"/>
      <c r="E3" s="223"/>
      <c r="F3" s="223"/>
      <c r="G3" s="223"/>
      <c r="H3" s="223"/>
      <c r="I3" s="223"/>
      <c r="J3" s="224"/>
      <c r="K3" s="50">
        <f>COUNTIFS(A8:A500,"未定",B8:B500,"&lt;&gt;")</f>
        <v>0</v>
      </c>
      <c r="L3" s="50">
        <f>COUNTIFS(A8:A500,"使用可",B8:B500,"&lt;&gt;")+COUNTIFS(A8:A500,"UXへのみ可",B8:B500,"&lt;&gt;")</f>
        <v>0</v>
      </c>
      <c r="M3" s="53" t="str">
        <f>IF(COUNTA(B8:I500,N8:N500), "入力有", "入力無")</f>
        <v>入力無</v>
      </c>
      <c r="N3" s="79">
        <v>45389</v>
      </c>
      <c r="O3" s="80"/>
      <c r="P3" s="72"/>
      <c r="Q3" s="118"/>
      <c r="Y3" s="161"/>
      <c r="Z3" s="118"/>
      <c r="AA3" s="119"/>
      <c r="AB3" s="176"/>
      <c r="AD3" s="91"/>
      <c r="AE3" s="83"/>
      <c r="AF3" s="94"/>
      <c r="AG3" s="94"/>
      <c r="AH3" s="177"/>
      <c r="AI3" s="95"/>
    </row>
    <row r="4" spans="1:42" ht="23.85" customHeight="1" thickBot="1">
      <c r="A4" s="221"/>
      <c r="B4" s="222"/>
      <c r="C4" s="223"/>
      <c r="D4" s="223"/>
      <c r="E4" s="223"/>
      <c r="F4" s="223"/>
      <c r="G4" s="223"/>
      <c r="H4" s="223"/>
      <c r="I4" s="223"/>
      <c r="J4" s="224"/>
      <c r="K4" s="47"/>
      <c r="L4" s="48"/>
      <c r="M4" s="48"/>
      <c r="N4" s="48"/>
      <c r="O4" s="48"/>
      <c r="Q4" s="81"/>
      <c r="Y4" s="162"/>
      <c r="Z4" s="120"/>
      <c r="AA4" s="121"/>
      <c r="AB4" s="74"/>
      <c r="AD4" s="82"/>
      <c r="AE4" s="83"/>
      <c r="AF4" s="83"/>
      <c r="AG4" s="83"/>
      <c r="AH4" s="87"/>
      <c r="AI4" s="88"/>
    </row>
    <row r="5" spans="1:42" ht="23.85" customHeight="1">
      <c r="A5" s="35"/>
      <c r="B5" s="31"/>
      <c r="C5" s="31"/>
      <c r="D5" s="31"/>
      <c r="E5" s="31"/>
      <c r="F5" s="31"/>
      <c r="G5" s="31"/>
      <c r="H5" s="31"/>
      <c r="I5" s="31"/>
      <c r="J5" s="48"/>
      <c r="K5" s="48"/>
      <c r="L5" s="48"/>
      <c r="M5" s="48"/>
      <c r="N5" s="48"/>
      <c r="O5" s="48"/>
      <c r="Q5" s="81"/>
      <c r="Y5" s="163"/>
      <c r="Z5" s="120"/>
      <c r="AA5" s="121"/>
      <c r="AB5" s="74"/>
      <c r="AC5" s="36"/>
      <c r="AD5" s="82"/>
      <c r="AE5" s="83"/>
      <c r="AF5" s="83"/>
      <c r="AG5" s="83"/>
      <c r="AH5" s="87"/>
      <c r="AI5" s="88"/>
    </row>
    <row r="6" spans="1:42" ht="23.85" customHeight="1">
      <c r="A6" s="202" t="s">
        <v>209</v>
      </c>
      <c r="B6" s="202"/>
      <c r="C6" s="202"/>
      <c r="D6" s="202"/>
      <c r="E6" s="202"/>
      <c r="F6" s="202"/>
      <c r="G6" s="202"/>
      <c r="H6" s="202"/>
      <c r="I6" s="202"/>
      <c r="J6" s="202"/>
      <c r="K6" s="202"/>
      <c r="L6" s="48"/>
      <c r="M6" s="48"/>
      <c r="N6" s="48"/>
      <c r="O6" s="48"/>
      <c r="Q6" s="81"/>
      <c r="Y6" s="163"/>
      <c r="Z6" s="120"/>
      <c r="AA6" s="121"/>
      <c r="AB6" s="74"/>
      <c r="AC6" s="36"/>
      <c r="AD6" s="82"/>
      <c r="AE6" s="83"/>
      <c r="AF6" s="83"/>
      <c r="AG6" s="83"/>
      <c r="AH6" s="87"/>
      <c r="AI6" s="88"/>
      <c r="AL6" s="110">
        <f>A3</f>
        <v>45801</v>
      </c>
    </row>
    <row r="7" spans="1:42" s="32" customFormat="1">
      <c r="A7" s="43" t="s">
        <v>210</v>
      </c>
      <c r="B7" s="43" t="s">
        <v>204</v>
      </c>
      <c r="C7" s="43" t="s">
        <v>211</v>
      </c>
      <c r="D7" s="43" t="s">
        <v>212</v>
      </c>
      <c r="E7" s="43" t="s">
        <v>213</v>
      </c>
      <c r="F7" s="43" t="s">
        <v>214</v>
      </c>
      <c r="G7" s="43" t="s">
        <v>215</v>
      </c>
      <c r="H7" s="43" t="s">
        <v>216</v>
      </c>
      <c r="I7" s="44" t="s">
        <v>217</v>
      </c>
      <c r="J7" s="37" t="s">
        <v>218</v>
      </c>
      <c r="K7" s="37" t="s">
        <v>219</v>
      </c>
      <c r="L7" s="33"/>
      <c r="M7" s="33"/>
      <c r="N7" s="33"/>
      <c r="O7" s="33"/>
      <c r="Q7" s="81"/>
      <c r="R7" s="33"/>
      <c r="S7" s="33"/>
      <c r="T7" s="33"/>
      <c r="U7" s="33"/>
      <c r="V7" s="33"/>
      <c r="W7" s="33"/>
      <c r="X7" s="33"/>
      <c r="Y7" s="163"/>
      <c r="Z7" s="120"/>
      <c r="AA7" s="121"/>
      <c r="AB7" s="74"/>
      <c r="AC7" s="33"/>
      <c r="AD7" s="84"/>
      <c r="AE7" s="83"/>
      <c r="AF7" s="83"/>
      <c r="AG7" s="83"/>
      <c r="AH7" s="87"/>
      <c r="AI7" s="88"/>
      <c r="AL7" s="32" t="str">
        <f>TEXT(AM7,"mmdd")</f>
        <v>0518</v>
      </c>
      <c r="AM7" s="111">
        <f>AL6-(WEEKDAY(AL6,1)-1)</f>
        <v>45795</v>
      </c>
    </row>
    <row r="8" spans="1:42">
      <c r="A8" s="33" t="str">
        <f t="shared" ref="A8:A71" si="0">IF(ISBLANK($I8), "", _xlfn.IFS($I8&gt;10, "DS", $I8&lt;=10, "未定"))</f>
        <v/>
      </c>
      <c r="E8" s="38"/>
      <c r="F8" s="38"/>
      <c r="G8" s="38"/>
      <c r="H8" s="38"/>
      <c r="I8" s="33"/>
      <c r="J8" s="173" t="str" cm="1">
        <f t="array" aca="1" ref="J8" ca="1">IFERROR(_xlfn.IFS(OR(AL8&lt;&gt;"",AP8&lt;&gt;""),"STCOアサイン済",OR(AN8&lt;&gt;"",AO8&lt;&gt;""),"CHAT中"),"")</f>
        <v/>
      </c>
      <c r="K8" s="33"/>
      <c r="L8" s="33"/>
      <c r="M8" s="33"/>
      <c r="N8" s="33"/>
      <c r="O8" s="33"/>
      <c r="Q8" s="81"/>
      <c r="Y8" s="163"/>
      <c r="Z8" s="120"/>
      <c r="AA8" s="121"/>
      <c r="AB8" s="74"/>
      <c r="AD8" s="82"/>
      <c r="AE8" s="83"/>
      <c r="AF8" s="83"/>
      <c r="AG8" s="83"/>
      <c r="AH8" s="87"/>
      <c r="AI8" s="88"/>
      <c r="AK8" s="33">
        <f>C8</f>
        <v>0</v>
      </c>
      <c r="AL8" s="33" t="e">
        <f ca="1">IF(SUMIF(INDIRECT($AL$7&amp;"!$AM$5:$AM$800"),C8&amp;$AL$6,INDIRECT($AL$7&amp;"!$AN$5:$AN$800"))&lt;=0,"")</f>
        <v>#REF!</v>
      </c>
      <c r="AM8" s="33" t="str">
        <f>IF(A8="","",A8)</f>
        <v/>
      </c>
      <c r="AN8" s="33" t="e">
        <f ca="1">IF(SUMIF(INDIRECT($AL$7&amp;"!$AM$5:$AM$800"),C8&amp;$AL$6,INDIRECT($AL$7&amp;"!$AO$5:$AO$800"))=0,"")</f>
        <v>#REF!</v>
      </c>
      <c r="AO8" s="174" t="e">
        <f ca="1">IF(SUMIF(INDIRECT($AL$7&amp;"!$AR$5:$AR$800"),C8&amp;$AL$6,INDIRECT($AL$7&amp;"!$AO$5:$AO$800"))=0,"")</f>
        <v>#REF!</v>
      </c>
      <c r="AP8" s="174" t="e">
        <f ca="1">IF(SUMIF(INDIRECT($AL$7&amp;"!$AR$5:$AR$800"),C8&amp;$AL$6,INDIRECT($AL$7&amp;"!$AN$5:$AN$800"))&lt;=0,"")</f>
        <v>#REF!</v>
      </c>
    </row>
    <row r="9" spans="1:42">
      <c r="A9" s="33" t="str">
        <f t="shared" si="0"/>
        <v/>
      </c>
      <c r="E9" s="38"/>
      <c r="F9" s="38"/>
      <c r="G9" s="38"/>
      <c r="H9" s="38"/>
      <c r="I9" s="33"/>
      <c r="J9" s="173" t="str" cm="1">
        <f t="array" aca="1" ref="J9" ca="1">IFERROR(_xlfn.IFS(OR(AL9&lt;&gt;"",AP9&lt;&gt;""),"STCOアサイン済",OR(AN9&lt;&gt;"",AO9&lt;&gt;""),"CHAT中"),"")</f>
        <v/>
      </c>
      <c r="K9" s="33"/>
      <c r="L9" s="33"/>
      <c r="M9" s="33"/>
      <c r="N9" s="33"/>
      <c r="O9" s="33"/>
      <c r="Q9" s="81"/>
      <c r="Y9" s="163"/>
      <c r="Z9" s="120"/>
      <c r="AA9" s="121"/>
      <c r="AB9" s="74"/>
      <c r="AD9" s="82"/>
      <c r="AE9" s="83"/>
      <c r="AF9" s="83"/>
      <c r="AG9" s="83"/>
      <c r="AH9" s="87"/>
      <c r="AI9" s="88"/>
      <c r="AK9" s="33">
        <f t="shared" ref="AK9:AK72" si="1">C9</f>
        <v>0</v>
      </c>
      <c r="AL9" s="33" t="e">
        <f t="shared" ref="AL9:AL72" ca="1" si="2">IF(SUMIF(INDIRECT($AL$7&amp;"!$AM$5:$AM$800"),C9&amp;$AL$6,INDIRECT($AL$7&amp;"!$AN$5:$AN$800"))&lt;=0,"")</f>
        <v>#REF!</v>
      </c>
      <c r="AM9" s="33" t="str">
        <f t="shared" ref="AM9:AM72" si="3">IF(A9="","",A9)</f>
        <v/>
      </c>
      <c r="AN9" s="33" t="e">
        <f t="shared" ref="AN9:AN72" ca="1" si="4">IF(SUMIF(INDIRECT($AL$7&amp;"!$AM$5:$AM$800"),C9&amp;$AL$6,INDIRECT($AL$7&amp;"!$AO$5:$AO$800"))=0,"")</f>
        <v>#REF!</v>
      </c>
      <c r="AO9" s="174" t="e">
        <f t="shared" ref="AO9:AO72" ca="1" si="5">IF(SUMIF(INDIRECT($AL$7&amp;"!$AR$5:$AR$800"),C9&amp;$AL$6,INDIRECT($AL$7&amp;"!$AO$5:$AO$800"))=0,"")</f>
        <v>#REF!</v>
      </c>
      <c r="AP9" s="174" t="e">
        <f t="shared" ref="AP9:AP72" ca="1" si="6">IF(SUMIF(INDIRECT($AL$7&amp;"!$AR$5:$AR$800"),C9&amp;$AL$6,INDIRECT($AL$7&amp;"!$AN$5:$AN$800"))&lt;=0,"")</f>
        <v>#REF!</v>
      </c>
    </row>
    <row r="10" spans="1:42">
      <c r="A10" s="33" t="str">
        <f t="shared" si="0"/>
        <v/>
      </c>
      <c r="E10" s="38"/>
      <c r="F10" s="38"/>
      <c r="G10" s="38"/>
      <c r="H10" s="38"/>
      <c r="I10" s="33"/>
      <c r="J10" s="173" t="str" cm="1">
        <f t="array" aca="1" ref="J10" ca="1">IFERROR(_xlfn.IFS(OR(AL10&lt;&gt;"",AP10&lt;&gt;""),"STCOアサイン済",OR(AN10&lt;&gt;"",AO10&lt;&gt;""),"CHAT中"),"")</f>
        <v/>
      </c>
      <c r="K10" s="33"/>
      <c r="L10" s="33"/>
      <c r="M10" s="33"/>
      <c r="N10" s="33"/>
      <c r="O10" s="33"/>
      <c r="Q10" s="81"/>
      <c r="Y10" s="163"/>
      <c r="Z10" s="120"/>
      <c r="AA10" s="121"/>
      <c r="AB10" s="74"/>
      <c r="AD10" s="82"/>
      <c r="AE10" s="83"/>
      <c r="AF10" s="83"/>
      <c r="AG10" s="83"/>
      <c r="AH10" s="87"/>
      <c r="AI10" s="88"/>
      <c r="AK10" s="33">
        <f t="shared" si="1"/>
        <v>0</v>
      </c>
      <c r="AL10" s="33" t="e">
        <f t="shared" ca="1" si="2"/>
        <v>#REF!</v>
      </c>
      <c r="AM10" s="33" t="str">
        <f t="shared" si="3"/>
        <v/>
      </c>
      <c r="AN10" s="33" t="e">
        <f t="shared" ca="1" si="4"/>
        <v>#REF!</v>
      </c>
      <c r="AO10" s="174" t="e">
        <f t="shared" ca="1" si="5"/>
        <v>#REF!</v>
      </c>
      <c r="AP10" s="174" t="e">
        <f t="shared" ca="1" si="6"/>
        <v>#REF!</v>
      </c>
    </row>
    <row r="11" spans="1:42">
      <c r="A11" s="33" t="str">
        <f t="shared" si="0"/>
        <v/>
      </c>
      <c r="E11" s="38"/>
      <c r="F11" s="38"/>
      <c r="G11" s="38"/>
      <c r="H11" s="38"/>
      <c r="I11" s="33"/>
      <c r="J11" s="173" t="str" cm="1">
        <f t="array" aca="1" ref="J11" ca="1">IFERROR(_xlfn.IFS(OR(AL11&lt;&gt;"",AP11&lt;&gt;""),"STCOアサイン済",OR(AN11&lt;&gt;"",AO11&lt;&gt;""),"CHAT中"),"")</f>
        <v/>
      </c>
      <c r="K11" s="33"/>
      <c r="L11" s="33"/>
      <c r="M11" s="33"/>
      <c r="N11" s="33"/>
      <c r="O11" s="33"/>
      <c r="Q11" s="81"/>
      <c r="Y11" s="163"/>
      <c r="Z11" s="120"/>
      <c r="AA11" s="121"/>
      <c r="AB11" s="74"/>
      <c r="AC11" s="122"/>
      <c r="AD11" s="82"/>
      <c r="AE11" s="83"/>
      <c r="AF11" s="83"/>
      <c r="AG11" s="83"/>
      <c r="AH11" s="87"/>
      <c r="AI11" s="88"/>
      <c r="AK11" s="33">
        <f t="shared" si="1"/>
        <v>0</v>
      </c>
      <c r="AL11" s="33" t="e">
        <f t="shared" ca="1" si="2"/>
        <v>#REF!</v>
      </c>
      <c r="AM11" s="33" t="str">
        <f t="shared" si="3"/>
        <v/>
      </c>
      <c r="AN11" s="33" t="e">
        <f t="shared" ca="1" si="4"/>
        <v>#REF!</v>
      </c>
      <c r="AO11" s="174" t="e">
        <f t="shared" ca="1" si="5"/>
        <v>#REF!</v>
      </c>
      <c r="AP11" s="174" t="e">
        <f t="shared" ca="1" si="6"/>
        <v>#REF!</v>
      </c>
    </row>
    <row r="12" spans="1:42">
      <c r="A12" s="33" t="str">
        <f t="shared" si="0"/>
        <v/>
      </c>
      <c r="E12" s="38"/>
      <c r="F12" s="38"/>
      <c r="G12" s="38"/>
      <c r="H12" s="38"/>
      <c r="I12" s="33"/>
      <c r="J12" s="173" t="str" cm="1">
        <f t="array" aca="1" ref="J12" ca="1">IFERROR(_xlfn.IFS(OR(AL12&lt;&gt;"",AP12&lt;&gt;""),"STCOアサイン済",OR(AN12&lt;&gt;"",AO12&lt;&gt;""),"CHAT中"),"")</f>
        <v/>
      </c>
      <c r="K12" s="33"/>
      <c r="L12" s="33"/>
      <c r="M12" s="33"/>
      <c r="N12" s="33"/>
      <c r="O12" s="33"/>
      <c r="Q12" s="81"/>
      <c r="Y12" s="163"/>
      <c r="Z12" s="120"/>
      <c r="AA12" s="121"/>
      <c r="AB12" s="74"/>
      <c r="AD12" s="82"/>
      <c r="AE12" s="83"/>
      <c r="AF12" s="83"/>
      <c r="AG12" s="83"/>
      <c r="AH12" s="87"/>
      <c r="AI12" s="88"/>
      <c r="AK12" s="33">
        <f t="shared" si="1"/>
        <v>0</v>
      </c>
      <c r="AL12" s="33" t="e">
        <f t="shared" ca="1" si="2"/>
        <v>#REF!</v>
      </c>
      <c r="AM12" s="33" t="str">
        <f t="shared" si="3"/>
        <v/>
      </c>
      <c r="AN12" s="33" t="e">
        <f t="shared" ca="1" si="4"/>
        <v>#REF!</v>
      </c>
      <c r="AO12" s="174" t="e">
        <f t="shared" ca="1" si="5"/>
        <v>#REF!</v>
      </c>
      <c r="AP12" s="174" t="e">
        <f t="shared" ca="1" si="6"/>
        <v>#REF!</v>
      </c>
    </row>
    <row r="13" spans="1:42">
      <c r="A13" s="33" t="str">
        <f t="shared" si="0"/>
        <v/>
      </c>
      <c r="E13" s="38"/>
      <c r="F13" s="38"/>
      <c r="G13" s="38"/>
      <c r="H13" s="38"/>
      <c r="I13" s="33"/>
      <c r="J13" s="173" t="str" cm="1">
        <f t="array" aca="1" ref="J13" ca="1">IFERROR(_xlfn.IFS(OR(AL13&lt;&gt;"",AP13&lt;&gt;""),"STCOアサイン済",OR(AN13&lt;&gt;"",AO13&lt;&gt;""),"CHAT中"),"")</f>
        <v/>
      </c>
      <c r="K13" s="33"/>
      <c r="L13" s="33"/>
      <c r="M13" s="33"/>
      <c r="N13" s="33"/>
      <c r="O13" s="33"/>
      <c r="Q13" s="81"/>
      <c r="Y13" s="163"/>
      <c r="Z13" s="120"/>
      <c r="AA13" s="121"/>
      <c r="AB13" s="74"/>
      <c r="AD13" s="82"/>
      <c r="AE13" s="83"/>
      <c r="AF13" s="83"/>
      <c r="AG13" s="83"/>
      <c r="AH13" s="87"/>
      <c r="AI13" s="88"/>
      <c r="AK13" s="33">
        <f t="shared" si="1"/>
        <v>0</v>
      </c>
      <c r="AL13" s="33" t="e">
        <f t="shared" ca="1" si="2"/>
        <v>#REF!</v>
      </c>
      <c r="AM13" s="33" t="str">
        <f t="shared" si="3"/>
        <v/>
      </c>
      <c r="AN13" s="33" t="e">
        <f t="shared" ca="1" si="4"/>
        <v>#REF!</v>
      </c>
      <c r="AO13" s="174" t="e">
        <f t="shared" ca="1" si="5"/>
        <v>#REF!</v>
      </c>
      <c r="AP13" s="174" t="e">
        <f t="shared" ca="1" si="6"/>
        <v>#REF!</v>
      </c>
    </row>
    <row r="14" spans="1:42">
      <c r="A14" s="33" t="str">
        <f t="shared" si="0"/>
        <v/>
      </c>
      <c r="E14" s="38"/>
      <c r="F14" s="38"/>
      <c r="G14" s="38"/>
      <c r="H14" s="38"/>
      <c r="I14" s="33"/>
      <c r="J14" s="173" t="str" cm="1">
        <f t="array" aca="1" ref="J14" ca="1">IFERROR(_xlfn.IFS(OR(AL14&lt;&gt;"",AP14&lt;&gt;""),"STCOアサイン済",OR(AN14&lt;&gt;"",AO14&lt;&gt;""),"CHAT中"),"")</f>
        <v/>
      </c>
      <c r="K14" s="33"/>
      <c r="L14" s="33"/>
      <c r="M14" s="33"/>
      <c r="N14" s="33"/>
      <c r="O14" s="33"/>
      <c r="Q14" s="81"/>
      <c r="Y14" s="163"/>
      <c r="Z14" s="120"/>
      <c r="AA14" s="121"/>
      <c r="AB14" s="74"/>
      <c r="AD14" s="82"/>
      <c r="AE14" s="83"/>
      <c r="AF14" s="83"/>
      <c r="AG14" s="83"/>
      <c r="AH14" s="87"/>
      <c r="AI14" s="88"/>
      <c r="AK14" s="33">
        <f t="shared" si="1"/>
        <v>0</v>
      </c>
      <c r="AL14" s="33" t="e">
        <f t="shared" ca="1" si="2"/>
        <v>#REF!</v>
      </c>
      <c r="AM14" s="33" t="str">
        <f t="shared" si="3"/>
        <v/>
      </c>
      <c r="AN14" s="33" t="e">
        <f t="shared" ca="1" si="4"/>
        <v>#REF!</v>
      </c>
      <c r="AO14" s="174" t="e">
        <f t="shared" ca="1" si="5"/>
        <v>#REF!</v>
      </c>
      <c r="AP14" s="174" t="e">
        <f t="shared" ca="1" si="6"/>
        <v>#REF!</v>
      </c>
    </row>
    <row r="15" spans="1:42">
      <c r="A15" s="33" t="str">
        <f t="shared" si="0"/>
        <v/>
      </c>
      <c r="E15" s="38"/>
      <c r="F15" s="38"/>
      <c r="G15" s="38"/>
      <c r="H15" s="38"/>
      <c r="I15" s="33"/>
      <c r="J15" s="173" t="str" cm="1">
        <f t="array" aca="1" ref="J15" ca="1">IFERROR(_xlfn.IFS(OR(AL15&lt;&gt;"",AP15&lt;&gt;""),"STCOアサイン済",OR(AN15&lt;&gt;"",AO15&lt;&gt;""),"CHAT中"),"")</f>
        <v/>
      </c>
      <c r="K15" s="33"/>
      <c r="L15" s="33"/>
      <c r="M15" s="33"/>
      <c r="N15" s="33"/>
      <c r="O15" s="33"/>
      <c r="Q15" s="81"/>
      <c r="Y15" s="163"/>
      <c r="Z15" s="120"/>
      <c r="AA15" s="121"/>
      <c r="AB15" s="74"/>
      <c r="AD15" s="85"/>
      <c r="AE15" s="86"/>
      <c r="AF15" s="86"/>
      <c r="AG15" s="86"/>
      <c r="AH15" s="89"/>
      <c r="AI15" s="90"/>
      <c r="AK15" s="33">
        <f t="shared" si="1"/>
        <v>0</v>
      </c>
      <c r="AL15" s="33" t="e">
        <f t="shared" ca="1" si="2"/>
        <v>#REF!</v>
      </c>
      <c r="AM15" s="33" t="str">
        <f t="shared" si="3"/>
        <v/>
      </c>
      <c r="AN15" s="33" t="e">
        <f t="shared" ca="1" si="4"/>
        <v>#REF!</v>
      </c>
      <c r="AO15" s="174" t="e">
        <f t="shared" ca="1" si="5"/>
        <v>#REF!</v>
      </c>
      <c r="AP15" s="174" t="e">
        <f t="shared" ca="1" si="6"/>
        <v>#REF!</v>
      </c>
    </row>
    <row r="16" spans="1:42" ht="18.75" customHeight="1">
      <c r="A16" s="33" t="str">
        <f t="shared" si="0"/>
        <v/>
      </c>
      <c r="E16" s="38"/>
      <c r="F16" s="38"/>
      <c r="G16" s="38"/>
      <c r="H16" s="38"/>
      <c r="I16" s="33"/>
      <c r="J16" s="173" t="str" cm="1">
        <f t="array" aca="1" ref="J16" ca="1">IFERROR(_xlfn.IFS(OR(AL16&lt;&gt;"",AP16&lt;&gt;""),"STCOアサイン済",OR(AN16&lt;&gt;"",AO16&lt;&gt;""),"CHAT中"),"")</f>
        <v/>
      </c>
      <c r="K16" s="33"/>
      <c r="L16" s="203" t="s">
        <v>220</v>
      </c>
      <c r="M16" s="204" t="s">
        <v>221</v>
      </c>
      <c r="N16" s="33"/>
      <c r="O16" s="33"/>
      <c r="Q16" s="81"/>
      <c r="Y16" s="163"/>
      <c r="Z16" s="120"/>
      <c r="AA16" s="121"/>
      <c r="AB16" s="74"/>
      <c r="AD16" s="85"/>
      <c r="AE16" s="86"/>
      <c r="AF16" s="86"/>
      <c r="AG16" s="86"/>
      <c r="AH16" s="89"/>
      <c r="AI16" s="90"/>
      <c r="AK16" s="33">
        <f t="shared" si="1"/>
        <v>0</v>
      </c>
      <c r="AL16" s="33" t="e">
        <f t="shared" ca="1" si="2"/>
        <v>#REF!</v>
      </c>
      <c r="AM16" s="33" t="str">
        <f t="shared" si="3"/>
        <v/>
      </c>
      <c r="AN16" s="33" t="e">
        <f t="shared" ca="1" si="4"/>
        <v>#REF!</v>
      </c>
      <c r="AO16" s="174" t="e">
        <f t="shared" ca="1" si="5"/>
        <v>#REF!</v>
      </c>
      <c r="AP16" s="174" t="e">
        <f t="shared" ca="1" si="6"/>
        <v>#REF!</v>
      </c>
    </row>
    <row r="17" spans="1:42" ht="19.5" thickBot="1">
      <c r="A17" s="33" t="str">
        <f t="shared" si="0"/>
        <v/>
      </c>
      <c r="E17" s="38"/>
      <c r="F17" s="38"/>
      <c r="G17" s="38"/>
      <c r="H17" s="38"/>
      <c r="I17" s="33"/>
      <c r="J17" s="173" t="str" cm="1">
        <f t="array" aca="1" ref="J17" ca="1">IFERROR(_xlfn.IFS(OR(AL17&lt;&gt;"",AP17&lt;&gt;""),"STCOアサイン済",OR(AN17&lt;&gt;"",AO17&lt;&gt;""),"CHAT中"),"")</f>
        <v/>
      </c>
      <c r="K17" s="33"/>
      <c r="L17" s="203"/>
      <c r="M17" s="204"/>
      <c r="N17" s="33"/>
      <c r="O17" s="33"/>
      <c r="Q17" s="41"/>
      <c r="Y17" s="164"/>
      <c r="Z17" s="123"/>
      <c r="AA17" s="123"/>
      <c r="AB17" s="75"/>
      <c r="AD17" s="97"/>
      <c r="AE17" s="98"/>
      <c r="AF17" s="98"/>
      <c r="AG17" s="98"/>
      <c r="AH17" s="98"/>
      <c r="AI17" s="75"/>
      <c r="AK17" s="33">
        <f t="shared" si="1"/>
        <v>0</v>
      </c>
      <c r="AL17" s="33" t="e">
        <f t="shared" ca="1" si="2"/>
        <v>#REF!</v>
      </c>
      <c r="AM17" s="33" t="str">
        <f t="shared" si="3"/>
        <v/>
      </c>
      <c r="AN17" s="33" t="e">
        <f t="shared" ca="1" si="4"/>
        <v>#REF!</v>
      </c>
      <c r="AO17" s="174" t="e">
        <f t="shared" ca="1" si="5"/>
        <v>#REF!</v>
      </c>
      <c r="AP17" s="174" t="e">
        <f t="shared" ca="1" si="6"/>
        <v>#REF!</v>
      </c>
    </row>
    <row r="18" spans="1:42">
      <c r="A18" s="33" t="str">
        <f t="shared" si="0"/>
        <v/>
      </c>
      <c r="E18" s="38"/>
      <c r="F18" s="38"/>
      <c r="G18" s="38"/>
      <c r="H18" s="38"/>
      <c r="I18" s="33"/>
      <c r="J18" s="173" t="str" cm="1">
        <f t="array" aca="1" ref="J18" ca="1">IFERROR(_xlfn.IFS(OR(AL18&lt;&gt;"",AP18&lt;&gt;""),"STCOアサイン済",OR(AN18&lt;&gt;"",AO18&lt;&gt;""),"CHAT中"),"")</f>
        <v/>
      </c>
      <c r="K18" s="33"/>
      <c r="L18" s="203"/>
      <c r="M18" s="204"/>
      <c r="N18" s="33"/>
      <c r="O18" s="33"/>
      <c r="P18" s="40"/>
      <c r="AK18" s="33">
        <f t="shared" si="1"/>
        <v>0</v>
      </c>
      <c r="AL18" s="33" t="e">
        <f t="shared" ca="1" si="2"/>
        <v>#REF!</v>
      </c>
      <c r="AM18" s="33" t="str">
        <f t="shared" si="3"/>
        <v/>
      </c>
      <c r="AN18" s="33" t="e">
        <f t="shared" ca="1" si="4"/>
        <v>#REF!</v>
      </c>
      <c r="AO18" s="174" t="e">
        <f t="shared" ca="1" si="5"/>
        <v>#REF!</v>
      </c>
      <c r="AP18" s="174" t="e">
        <f t="shared" ca="1" si="6"/>
        <v>#REF!</v>
      </c>
    </row>
    <row r="19" spans="1:42" ht="20.100000000000001" customHeight="1">
      <c r="A19" s="33" t="str">
        <f t="shared" si="0"/>
        <v/>
      </c>
      <c r="B19" s="40"/>
      <c r="E19" s="38"/>
      <c r="F19" s="38"/>
      <c r="G19" s="38"/>
      <c r="H19" s="38"/>
      <c r="I19" s="33"/>
      <c r="J19" s="173" t="str" cm="1">
        <f t="array" aca="1" ref="J19" ca="1">IFERROR(_xlfn.IFS(OR(AL19&lt;&gt;"",AP19&lt;&gt;""),"STCOアサイン済",OR(AN19&lt;&gt;"",AO19&lt;&gt;""),"CHAT中"),"")</f>
        <v/>
      </c>
      <c r="K19" s="33"/>
      <c r="L19" s="203"/>
      <c r="M19" s="204"/>
      <c r="N19" s="33"/>
      <c r="O19" s="33"/>
      <c r="P19" s="40"/>
      <c r="S19" s="42"/>
      <c r="T19" s="39"/>
      <c r="U19" s="39"/>
      <c r="AK19" s="33">
        <f t="shared" si="1"/>
        <v>0</v>
      </c>
      <c r="AL19" s="33" t="e">
        <f t="shared" ca="1" si="2"/>
        <v>#REF!</v>
      </c>
      <c r="AM19" s="33" t="str">
        <f t="shared" si="3"/>
        <v/>
      </c>
      <c r="AN19" s="33" t="e">
        <f t="shared" ca="1" si="4"/>
        <v>#REF!</v>
      </c>
      <c r="AO19" s="174" t="e">
        <f t="shared" ca="1" si="5"/>
        <v>#REF!</v>
      </c>
      <c r="AP19" s="174" t="e">
        <f t="shared" ca="1" si="6"/>
        <v>#REF!</v>
      </c>
    </row>
    <row r="20" spans="1:42">
      <c r="A20" s="33" t="str">
        <f t="shared" si="0"/>
        <v/>
      </c>
      <c r="B20" s="40"/>
      <c r="E20" s="38"/>
      <c r="F20" s="38"/>
      <c r="G20" s="38"/>
      <c r="H20" s="38"/>
      <c r="I20" s="33"/>
      <c r="J20" s="173" t="str" cm="1">
        <f t="array" aca="1" ref="J20" ca="1">IFERROR(_xlfn.IFS(OR(AL20&lt;&gt;"",AP20&lt;&gt;""),"STCOアサイン済",OR(AN20&lt;&gt;"",AO20&lt;&gt;""),"CHAT中"),"")</f>
        <v/>
      </c>
      <c r="K20" s="33"/>
      <c r="L20" s="203"/>
      <c r="M20" s="204"/>
      <c r="N20" s="33"/>
      <c r="O20" s="33"/>
      <c r="Q20" s="205" t="s">
        <v>222</v>
      </c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K20" s="33">
        <f t="shared" si="1"/>
        <v>0</v>
      </c>
      <c r="AL20" s="33" t="e">
        <f t="shared" ca="1" si="2"/>
        <v>#REF!</v>
      </c>
      <c r="AM20" s="33" t="str">
        <f t="shared" si="3"/>
        <v/>
      </c>
      <c r="AN20" s="33" t="e">
        <f t="shared" ca="1" si="4"/>
        <v>#REF!</v>
      </c>
      <c r="AO20" s="174" t="e">
        <f t="shared" ca="1" si="5"/>
        <v>#REF!</v>
      </c>
      <c r="AP20" s="174" t="e">
        <f t="shared" ca="1" si="6"/>
        <v>#REF!</v>
      </c>
    </row>
    <row r="21" spans="1:42" ht="19.5">
      <c r="A21" s="33" t="str">
        <f t="shared" si="0"/>
        <v/>
      </c>
      <c r="B21" s="40"/>
      <c r="E21" s="38"/>
      <c r="F21" s="38"/>
      <c r="G21" s="38"/>
      <c r="H21" s="38"/>
      <c r="I21" s="33"/>
      <c r="J21" s="173" t="str" cm="1">
        <f t="array" aca="1" ref="J21" ca="1">IFERROR(_xlfn.IFS(OR(AL21&lt;&gt;"",AP21&lt;&gt;""),"STCOアサイン済",OR(AN21&lt;&gt;"",AO21&lt;&gt;""),"CHAT中"),"")</f>
        <v/>
      </c>
      <c r="K21" s="33"/>
      <c r="L21" s="203"/>
      <c r="M21" s="204"/>
      <c r="N21" s="33"/>
      <c r="O21" s="33"/>
      <c r="Q21" s="206" t="s">
        <v>223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  <c r="AD21" s="207" t="s">
        <v>224</v>
      </c>
      <c r="AE21" s="207"/>
      <c r="AF21" s="207"/>
      <c r="AG21" s="207"/>
      <c r="AH21" s="207"/>
      <c r="AI21" s="207"/>
      <c r="AK21" s="33">
        <f t="shared" si="1"/>
        <v>0</v>
      </c>
      <c r="AL21" s="33" t="e">
        <f t="shared" ca="1" si="2"/>
        <v>#REF!</v>
      </c>
      <c r="AM21" s="33" t="str">
        <f t="shared" si="3"/>
        <v/>
      </c>
      <c r="AN21" s="33" t="e">
        <f t="shared" ca="1" si="4"/>
        <v>#REF!</v>
      </c>
      <c r="AO21" s="174" t="e">
        <f t="shared" ca="1" si="5"/>
        <v>#REF!</v>
      </c>
      <c r="AP21" s="174" t="e">
        <f t="shared" ca="1" si="6"/>
        <v>#REF!</v>
      </c>
    </row>
    <row r="22" spans="1:42" ht="20.100000000000001" customHeight="1">
      <c r="A22" s="33" t="str">
        <f t="shared" si="0"/>
        <v/>
      </c>
      <c r="E22" s="38"/>
      <c r="F22" s="38"/>
      <c r="G22" s="38"/>
      <c r="H22" s="38"/>
      <c r="I22" s="33"/>
      <c r="J22" s="173" t="str" cm="1">
        <f t="array" aca="1" ref="J22" ca="1">IFERROR(_xlfn.IFS(OR(AL22&lt;&gt;"",AP22&lt;&gt;""),"STCOアサイン済",OR(AN22&lt;&gt;"",AO22&lt;&gt;""),"CHAT中"),"")</f>
        <v/>
      </c>
      <c r="K22" s="33"/>
      <c r="L22" s="203"/>
      <c r="M22" s="204"/>
      <c r="N22" s="33"/>
      <c r="O22" s="33"/>
      <c r="Q22" s="124"/>
      <c r="R22" s="100"/>
      <c r="S22" s="100"/>
      <c r="T22" s="100"/>
      <c r="U22" s="100"/>
      <c r="V22" s="100"/>
      <c r="W22" s="100"/>
      <c r="X22" s="100"/>
      <c r="Y22" s="165"/>
      <c r="Z22" s="100"/>
      <c r="AA22" s="100"/>
      <c r="AB22" s="100"/>
      <c r="AC22" s="100"/>
      <c r="AD22" s="125" t="s">
        <v>225</v>
      </c>
      <c r="AE22" s="109"/>
      <c r="AF22" s="109"/>
      <c r="AG22" s="109"/>
      <c r="AH22" s="109"/>
      <c r="AI22" s="109"/>
      <c r="AK22" s="33">
        <f t="shared" si="1"/>
        <v>0</v>
      </c>
      <c r="AL22" s="33" t="e">
        <f t="shared" ca="1" si="2"/>
        <v>#REF!</v>
      </c>
      <c r="AM22" s="33" t="str">
        <f t="shared" si="3"/>
        <v/>
      </c>
      <c r="AN22" s="33" t="e">
        <f t="shared" ca="1" si="4"/>
        <v>#REF!</v>
      </c>
      <c r="AO22" s="174" t="e">
        <f t="shared" ca="1" si="5"/>
        <v>#REF!</v>
      </c>
      <c r="AP22" s="174" t="e">
        <f t="shared" ca="1" si="6"/>
        <v>#REF!</v>
      </c>
    </row>
    <row r="23" spans="1:42">
      <c r="A23" s="33" t="str">
        <f t="shared" si="0"/>
        <v/>
      </c>
      <c r="E23" s="38"/>
      <c r="F23" s="38"/>
      <c r="G23" s="38"/>
      <c r="H23" s="38"/>
      <c r="I23" s="33"/>
      <c r="J23" s="173" t="str" cm="1">
        <f t="array" aca="1" ref="J23" ca="1">IFERROR(_xlfn.IFS(OR(AL23&lt;&gt;"",AP23&lt;&gt;""),"STCOアサイン済",OR(AN23&lt;&gt;"",AO23&lt;&gt;""),"CHAT中"),"")</f>
        <v/>
      </c>
      <c r="K23" s="33"/>
      <c r="L23" s="203"/>
      <c r="M23" s="204"/>
      <c r="N23" s="33"/>
      <c r="O23" s="33"/>
      <c r="Q23" s="124" t="s">
        <v>226</v>
      </c>
      <c r="R23" s="100"/>
      <c r="S23" s="100"/>
      <c r="T23" s="100"/>
      <c r="U23" s="100"/>
      <c r="V23" s="100"/>
      <c r="W23" s="100"/>
      <c r="X23" s="100"/>
      <c r="Y23" s="165"/>
      <c r="Z23" s="100"/>
      <c r="AA23" s="100"/>
      <c r="AB23" s="100"/>
      <c r="AC23" s="100"/>
      <c r="AD23" s="125" t="s">
        <v>227</v>
      </c>
      <c r="AE23" s="109"/>
      <c r="AF23" s="109"/>
      <c r="AG23" s="109"/>
      <c r="AH23" s="109"/>
      <c r="AI23" s="109"/>
      <c r="AK23" s="33">
        <f t="shared" si="1"/>
        <v>0</v>
      </c>
      <c r="AL23" s="33" t="e">
        <f t="shared" ca="1" si="2"/>
        <v>#REF!</v>
      </c>
      <c r="AM23" s="33" t="str">
        <f t="shared" si="3"/>
        <v/>
      </c>
      <c r="AN23" s="33" t="e">
        <f t="shared" ca="1" si="4"/>
        <v>#REF!</v>
      </c>
      <c r="AO23" s="174" t="e">
        <f t="shared" ca="1" si="5"/>
        <v>#REF!</v>
      </c>
      <c r="AP23" s="174" t="e">
        <f t="shared" ca="1" si="6"/>
        <v>#REF!</v>
      </c>
    </row>
    <row r="24" spans="1:42">
      <c r="A24" s="33" t="str">
        <f t="shared" si="0"/>
        <v/>
      </c>
      <c r="E24" s="38"/>
      <c r="F24" s="38"/>
      <c r="G24" s="38"/>
      <c r="H24" s="38"/>
      <c r="I24" s="33"/>
      <c r="J24" s="173" t="str" cm="1">
        <f t="array" aca="1" ref="J24" ca="1">IFERROR(_xlfn.IFS(OR(AL24&lt;&gt;"",AP24&lt;&gt;""),"STCOアサイン済",OR(AN24&lt;&gt;"",AO24&lt;&gt;""),"CHAT中"),"")</f>
        <v/>
      </c>
      <c r="K24" s="33"/>
      <c r="L24" s="203"/>
      <c r="M24" s="204"/>
      <c r="N24" s="33"/>
      <c r="O24" s="33"/>
      <c r="Q24" s="126" t="s">
        <v>228</v>
      </c>
      <c r="R24" s="100"/>
      <c r="S24" s="100"/>
      <c r="T24" s="100"/>
      <c r="U24" s="100"/>
      <c r="V24" s="100"/>
      <c r="W24" s="100"/>
      <c r="X24" s="100"/>
      <c r="Y24" s="165"/>
      <c r="Z24" s="100"/>
      <c r="AA24" s="100"/>
      <c r="AB24" s="100"/>
      <c r="AC24" s="100"/>
      <c r="AD24" s="127"/>
      <c r="AE24" s="109"/>
      <c r="AF24" s="109"/>
      <c r="AG24" s="109"/>
      <c r="AH24" s="109"/>
      <c r="AI24" s="109"/>
      <c r="AK24" s="33">
        <f t="shared" si="1"/>
        <v>0</v>
      </c>
      <c r="AL24" s="33" t="e">
        <f t="shared" ca="1" si="2"/>
        <v>#REF!</v>
      </c>
      <c r="AM24" s="33" t="str">
        <f t="shared" si="3"/>
        <v/>
      </c>
      <c r="AN24" s="33" t="e">
        <f t="shared" ca="1" si="4"/>
        <v>#REF!</v>
      </c>
      <c r="AO24" s="174" t="e">
        <f t="shared" ca="1" si="5"/>
        <v>#REF!</v>
      </c>
      <c r="AP24" s="174" t="e">
        <f t="shared" ca="1" si="6"/>
        <v>#REF!</v>
      </c>
    </row>
    <row r="25" spans="1:42">
      <c r="A25" s="33" t="str">
        <f t="shared" si="0"/>
        <v/>
      </c>
      <c r="E25" s="38"/>
      <c r="F25" s="38"/>
      <c r="G25" s="38"/>
      <c r="H25" s="38"/>
      <c r="I25" s="33"/>
      <c r="J25" s="173" t="str" cm="1">
        <f t="array" aca="1" ref="J25" ca="1">IFERROR(_xlfn.IFS(OR(AL25&lt;&gt;"",AP25&lt;&gt;""),"STCOアサイン済",OR(AN25&lt;&gt;"",AO25&lt;&gt;""),"CHAT中"),"")</f>
        <v/>
      </c>
      <c r="K25" s="33"/>
      <c r="L25" s="203"/>
      <c r="M25" s="204"/>
      <c r="N25" s="33"/>
      <c r="O25" s="33"/>
      <c r="Q25" s="126" t="s">
        <v>229</v>
      </c>
      <c r="R25" s="100"/>
      <c r="S25" s="100"/>
      <c r="T25" s="100"/>
      <c r="U25" s="100"/>
      <c r="V25" s="100"/>
      <c r="W25" s="100"/>
      <c r="X25" s="100"/>
      <c r="Y25" s="165"/>
      <c r="Z25" s="100"/>
      <c r="AA25" s="100"/>
      <c r="AB25" s="100"/>
      <c r="AC25" s="100"/>
      <c r="AD25" s="127"/>
      <c r="AE25" s="109"/>
      <c r="AF25" s="109"/>
      <c r="AG25" s="109"/>
      <c r="AH25" s="109"/>
      <c r="AI25" s="109"/>
      <c r="AK25" s="33">
        <f t="shared" si="1"/>
        <v>0</v>
      </c>
      <c r="AL25" s="33" t="e">
        <f t="shared" ca="1" si="2"/>
        <v>#REF!</v>
      </c>
      <c r="AM25" s="33" t="str">
        <f t="shared" si="3"/>
        <v/>
      </c>
      <c r="AN25" s="33" t="e">
        <f t="shared" ca="1" si="4"/>
        <v>#REF!</v>
      </c>
      <c r="AO25" s="174" t="e">
        <f t="shared" ca="1" si="5"/>
        <v>#REF!</v>
      </c>
      <c r="AP25" s="174" t="e">
        <f t="shared" ca="1" si="6"/>
        <v>#REF!</v>
      </c>
    </row>
    <row r="26" spans="1:42">
      <c r="A26" s="33" t="str">
        <f t="shared" si="0"/>
        <v/>
      </c>
      <c r="E26" s="38"/>
      <c r="F26" s="38"/>
      <c r="G26" s="38"/>
      <c r="H26" s="38"/>
      <c r="I26" s="33"/>
      <c r="J26" s="173" t="str" cm="1">
        <f t="array" aca="1" ref="J26" ca="1">IFERROR(_xlfn.IFS(OR(AL26&lt;&gt;"",AP26&lt;&gt;""),"STCOアサイン済",OR(AN26&lt;&gt;"",AO26&lt;&gt;""),"CHAT中"),"")</f>
        <v/>
      </c>
      <c r="K26" s="33"/>
      <c r="L26" s="203"/>
      <c r="M26" s="204"/>
      <c r="N26" s="33"/>
      <c r="O26" s="33"/>
      <c r="Q26" s="126" t="s">
        <v>230</v>
      </c>
      <c r="R26" s="100"/>
      <c r="S26" s="100"/>
      <c r="T26" s="100"/>
      <c r="U26" s="100"/>
      <c r="V26" s="100"/>
      <c r="W26" s="100"/>
      <c r="X26" s="100"/>
      <c r="Y26" s="165"/>
      <c r="Z26" s="100"/>
      <c r="AA26" s="100"/>
      <c r="AB26" s="100"/>
      <c r="AC26" s="100"/>
      <c r="AD26" s="127"/>
      <c r="AE26" s="109"/>
      <c r="AF26" s="109"/>
      <c r="AG26" s="109"/>
      <c r="AH26" s="109"/>
      <c r="AI26" s="109"/>
      <c r="AK26" s="33">
        <f t="shared" si="1"/>
        <v>0</v>
      </c>
      <c r="AL26" s="33" t="e">
        <f t="shared" ca="1" si="2"/>
        <v>#REF!</v>
      </c>
      <c r="AM26" s="33" t="str">
        <f t="shared" si="3"/>
        <v/>
      </c>
      <c r="AN26" s="33" t="e">
        <f t="shared" ca="1" si="4"/>
        <v>#REF!</v>
      </c>
      <c r="AO26" s="174" t="e">
        <f t="shared" ca="1" si="5"/>
        <v>#REF!</v>
      </c>
      <c r="AP26" s="174" t="e">
        <f t="shared" ca="1" si="6"/>
        <v>#REF!</v>
      </c>
    </row>
    <row r="27" spans="1:42">
      <c r="A27" s="33" t="str">
        <f t="shared" si="0"/>
        <v/>
      </c>
      <c r="E27" s="38"/>
      <c r="F27" s="38"/>
      <c r="G27" s="38"/>
      <c r="H27" s="38"/>
      <c r="I27" s="33"/>
      <c r="J27" s="173" t="str" cm="1">
        <f t="array" aca="1" ref="J27" ca="1">IFERROR(_xlfn.IFS(OR(AL27&lt;&gt;"",AP27&lt;&gt;""),"STCOアサイン済",OR(AN27&lt;&gt;"",AO27&lt;&gt;""),"CHAT中"),"")</f>
        <v/>
      </c>
      <c r="K27" s="33"/>
      <c r="L27" s="203"/>
      <c r="M27" s="204"/>
      <c r="N27" s="33"/>
      <c r="O27" s="33"/>
      <c r="Q27" s="126" t="s">
        <v>231</v>
      </c>
      <c r="R27" s="100"/>
      <c r="S27" s="100"/>
      <c r="T27" s="100"/>
      <c r="U27" s="100"/>
      <c r="V27" s="100"/>
      <c r="W27" s="100"/>
      <c r="X27" s="100"/>
      <c r="Y27" s="165"/>
      <c r="Z27" s="100"/>
      <c r="AA27" s="100"/>
      <c r="AB27" s="100"/>
      <c r="AC27" s="100"/>
      <c r="AD27" s="127"/>
      <c r="AE27" s="109"/>
      <c r="AF27" s="109"/>
      <c r="AG27" s="109"/>
      <c r="AH27" s="109"/>
      <c r="AI27" s="109"/>
      <c r="AK27" s="33">
        <f t="shared" si="1"/>
        <v>0</v>
      </c>
      <c r="AL27" s="33" t="e">
        <f t="shared" ca="1" si="2"/>
        <v>#REF!</v>
      </c>
      <c r="AM27" s="33" t="str">
        <f t="shared" si="3"/>
        <v/>
      </c>
      <c r="AN27" s="33" t="e">
        <f t="shared" ca="1" si="4"/>
        <v>#REF!</v>
      </c>
      <c r="AO27" s="174" t="e">
        <f t="shared" ca="1" si="5"/>
        <v>#REF!</v>
      </c>
      <c r="AP27" s="174" t="e">
        <f t="shared" ca="1" si="6"/>
        <v>#REF!</v>
      </c>
    </row>
    <row r="28" spans="1:42">
      <c r="A28" s="33" t="str">
        <f t="shared" si="0"/>
        <v/>
      </c>
      <c r="E28" s="38"/>
      <c r="F28" s="38"/>
      <c r="G28" s="38"/>
      <c r="H28" s="38"/>
      <c r="I28" s="33"/>
      <c r="J28" s="173" t="str" cm="1">
        <f t="array" aca="1" ref="J28" ca="1">IFERROR(_xlfn.IFS(OR(AL28&lt;&gt;"",AP28&lt;&gt;""),"STCOアサイン済",OR(AN28&lt;&gt;"",AO28&lt;&gt;""),"CHAT中"),"")</f>
        <v/>
      </c>
      <c r="K28" s="33"/>
      <c r="L28" s="203"/>
      <c r="M28" s="204"/>
      <c r="N28" s="33"/>
      <c r="O28" s="33"/>
      <c r="Q28" s="126" t="s">
        <v>232</v>
      </c>
      <c r="R28" s="100"/>
      <c r="S28" s="100"/>
      <c r="T28" s="100"/>
      <c r="U28" s="100"/>
      <c r="V28" s="100"/>
      <c r="W28" s="100"/>
      <c r="X28" s="100"/>
      <c r="Y28" s="165"/>
      <c r="Z28" s="100"/>
      <c r="AA28" s="100"/>
      <c r="AB28" s="100"/>
      <c r="AC28" s="100"/>
      <c r="AD28" s="127"/>
      <c r="AE28" s="109"/>
      <c r="AF28" s="109"/>
      <c r="AG28" s="109"/>
      <c r="AH28" s="109"/>
      <c r="AI28" s="109"/>
      <c r="AK28" s="33">
        <f t="shared" si="1"/>
        <v>0</v>
      </c>
      <c r="AL28" s="33" t="e">
        <f t="shared" ca="1" si="2"/>
        <v>#REF!</v>
      </c>
      <c r="AM28" s="33" t="str">
        <f t="shared" si="3"/>
        <v/>
      </c>
      <c r="AN28" s="33" t="e">
        <f t="shared" ca="1" si="4"/>
        <v>#REF!</v>
      </c>
      <c r="AO28" s="174" t="e">
        <f t="shared" ca="1" si="5"/>
        <v>#REF!</v>
      </c>
      <c r="AP28" s="174" t="e">
        <f t="shared" ca="1" si="6"/>
        <v>#REF!</v>
      </c>
    </row>
    <row r="29" spans="1:42" ht="19.5" thickBot="1">
      <c r="A29" s="33" t="str">
        <f t="shared" si="0"/>
        <v/>
      </c>
      <c r="E29" s="38"/>
      <c r="F29" s="38"/>
      <c r="G29" s="38"/>
      <c r="H29" s="38"/>
      <c r="I29" s="33"/>
      <c r="J29" s="173" t="str" cm="1">
        <f t="array" aca="1" ref="J29" ca="1">IFERROR(_xlfn.IFS(OR(AL29&lt;&gt;"",AP29&lt;&gt;""),"STCOアサイン済",OR(AN29&lt;&gt;"",AO29&lt;&gt;""),"CHAT中"),"")</f>
        <v/>
      </c>
      <c r="K29" s="33"/>
      <c r="L29" s="203"/>
      <c r="M29" s="208" t="s">
        <v>233</v>
      </c>
      <c r="N29" s="33"/>
      <c r="O29" s="33"/>
      <c r="Q29" s="126" t="s">
        <v>234</v>
      </c>
      <c r="R29" s="100"/>
      <c r="S29" s="100"/>
      <c r="T29" s="100"/>
      <c r="U29" s="100"/>
      <c r="V29" s="100"/>
      <c r="W29" s="100"/>
      <c r="X29" s="100"/>
      <c r="Y29" s="165"/>
      <c r="Z29" s="100"/>
      <c r="AA29" s="100"/>
      <c r="AB29" s="100"/>
      <c r="AC29" s="100"/>
      <c r="AD29" s="127"/>
      <c r="AE29" s="109"/>
      <c r="AF29" s="109"/>
      <c r="AG29" s="109"/>
      <c r="AH29" s="109"/>
      <c r="AI29" s="109"/>
      <c r="AK29" s="33">
        <f t="shared" si="1"/>
        <v>0</v>
      </c>
      <c r="AL29" s="33" t="e">
        <f t="shared" ca="1" si="2"/>
        <v>#REF!</v>
      </c>
      <c r="AM29" s="33" t="str">
        <f t="shared" si="3"/>
        <v/>
      </c>
      <c r="AN29" s="33" t="e">
        <f t="shared" ca="1" si="4"/>
        <v>#REF!</v>
      </c>
      <c r="AO29" s="174" t="e">
        <f t="shared" ca="1" si="5"/>
        <v>#REF!</v>
      </c>
      <c r="AP29" s="174" t="e">
        <f t="shared" ca="1" si="6"/>
        <v>#REF!</v>
      </c>
    </row>
    <row r="30" spans="1:42" ht="20.25" thickTop="1" thickBot="1">
      <c r="A30" s="33" t="str">
        <f t="shared" si="0"/>
        <v/>
      </c>
      <c r="F30" s="38"/>
      <c r="G30" s="38"/>
      <c r="H30" s="38"/>
      <c r="I30" s="33"/>
      <c r="J30" s="173" t="str" cm="1">
        <f t="array" aca="1" ref="J30" ca="1">IFERROR(_xlfn.IFS(OR(AL30&lt;&gt;"",AP30&lt;&gt;""),"STCOアサイン済",OR(AN30&lt;&gt;"",AO30&lt;&gt;""),"CHAT中"),"")</f>
        <v/>
      </c>
      <c r="K30" s="33"/>
      <c r="L30" s="203"/>
      <c r="M30" s="208"/>
      <c r="N30" s="33"/>
      <c r="O30" s="33"/>
      <c r="Q30" s="126" t="s">
        <v>235</v>
      </c>
      <c r="R30" s="100"/>
      <c r="S30" s="100"/>
      <c r="T30" s="100"/>
      <c r="U30" s="100"/>
      <c r="V30" s="100"/>
      <c r="W30" s="100"/>
      <c r="X30" s="100"/>
      <c r="Y30" s="165"/>
      <c r="Z30" s="100"/>
      <c r="AA30" s="100"/>
      <c r="AB30" s="100"/>
      <c r="AC30" s="100"/>
      <c r="AD30" s="127"/>
      <c r="AE30" s="109"/>
      <c r="AF30" s="109"/>
      <c r="AG30" s="109"/>
      <c r="AH30" s="109"/>
      <c r="AI30" s="109"/>
      <c r="AK30" s="33">
        <f t="shared" si="1"/>
        <v>0</v>
      </c>
      <c r="AL30" s="33" t="e">
        <f t="shared" ca="1" si="2"/>
        <v>#REF!</v>
      </c>
      <c r="AM30" s="33" t="str">
        <f t="shared" si="3"/>
        <v/>
      </c>
      <c r="AN30" s="33" t="e">
        <f t="shared" ca="1" si="4"/>
        <v>#REF!</v>
      </c>
      <c r="AO30" s="174" t="e">
        <f t="shared" ca="1" si="5"/>
        <v>#REF!</v>
      </c>
      <c r="AP30" s="174" t="e">
        <f t="shared" ca="1" si="6"/>
        <v>#REF!</v>
      </c>
    </row>
    <row r="31" spans="1:42" ht="20.25" thickTop="1" thickBot="1">
      <c r="A31" s="33" t="str">
        <f t="shared" si="0"/>
        <v/>
      </c>
      <c r="F31" s="38"/>
      <c r="G31" s="38"/>
      <c r="H31" s="38"/>
      <c r="I31" s="33"/>
      <c r="J31" s="173" t="str" cm="1">
        <f t="array" aca="1" ref="J31" ca="1">IFERROR(_xlfn.IFS(OR(AL31&lt;&gt;"",AP31&lt;&gt;""),"STCOアサイン済",OR(AN31&lt;&gt;"",AO31&lt;&gt;""),"CHAT中"),"")</f>
        <v/>
      </c>
      <c r="K31" s="33"/>
      <c r="L31" s="203"/>
      <c r="M31" s="208"/>
      <c r="N31" s="33"/>
      <c r="O31" s="33"/>
      <c r="Q31" s="209" t="s">
        <v>236</v>
      </c>
      <c r="R31" s="209"/>
      <c r="S31" s="209"/>
      <c r="T31" s="209"/>
      <c r="U31" s="209"/>
      <c r="V31" s="209"/>
      <c r="W31" s="209"/>
      <c r="X31" s="209"/>
      <c r="Y31" s="209"/>
      <c r="Z31" s="209"/>
      <c r="AA31" s="209"/>
      <c r="AB31" s="209"/>
      <c r="AC31" s="209"/>
      <c r="AD31" s="209"/>
      <c r="AE31" s="209"/>
      <c r="AF31" s="209"/>
      <c r="AG31" s="209"/>
      <c r="AH31" s="209"/>
      <c r="AI31" s="209"/>
      <c r="AK31" s="33">
        <f t="shared" si="1"/>
        <v>0</v>
      </c>
      <c r="AL31" s="33" t="e">
        <f t="shared" ca="1" si="2"/>
        <v>#REF!</v>
      </c>
      <c r="AM31" s="33" t="str">
        <f t="shared" si="3"/>
        <v/>
      </c>
      <c r="AN31" s="33" t="e">
        <f t="shared" ca="1" si="4"/>
        <v>#REF!</v>
      </c>
      <c r="AO31" s="174" t="e">
        <f t="shared" ca="1" si="5"/>
        <v>#REF!</v>
      </c>
      <c r="AP31" s="174" t="e">
        <f t="shared" ca="1" si="6"/>
        <v>#REF!</v>
      </c>
    </row>
    <row r="32" spans="1:42" ht="19.5" thickTop="1">
      <c r="A32" s="33" t="str">
        <f t="shared" si="0"/>
        <v/>
      </c>
      <c r="F32" s="38"/>
      <c r="G32" s="38"/>
      <c r="H32" s="38"/>
      <c r="I32" s="33"/>
      <c r="J32" s="173" t="str" cm="1">
        <f t="array" aca="1" ref="J32" ca="1">IFERROR(_xlfn.IFS(OR(AL32&lt;&gt;"",AP32&lt;&gt;""),"STCOアサイン済",OR(AN32&lt;&gt;"",AO32&lt;&gt;""),"CHAT中"),"")</f>
        <v/>
      </c>
      <c r="K32" s="33"/>
      <c r="L32" s="203"/>
      <c r="M32" s="210" t="s">
        <v>237</v>
      </c>
      <c r="N32" s="33"/>
      <c r="O32" s="33"/>
      <c r="Q32" s="212" t="s">
        <v>238</v>
      </c>
      <c r="R32" s="212"/>
      <c r="S32" s="212"/>
      <c r="T32" s="212"/>
      <c r="U32" s="212"/>
      <c r="V32" s="212"/>
      <c r="W32" s="212"/>
      <c r="X32" s="212"/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K32" s="33">
        <f t="shared" si="1"/>
        <v>0</v>
      </c>
      <c r="AL32" s="33" t="e">
        <f t="shared" ca="1" si="2"/>
        <v>#REF!</v>
      </c>
      <c r="AM32" s="33" t="str">
        <f t="shared" si="3"/>
        <v/>
      </c>
      <c r="AN32" s="33" t="e">
        <f t="shared" ca="1" si="4"/>
        <v>#REF!</v>
      </c>
      <c r="AO32" s="174" t="e">
        <f t="shared" ca="1" si="5"/>
        <v>#REF!</v>
      </c>
      <c r="AP32" s="174" t="e">
        <f t="shared" ca="1" si="6"/>
        <v>#REF!</v>
      </c>
    </row>
    <row r="33" spans="1:42" ht="18.75" customHeight="1">
      <c r="A33" s="33" t="str">
        <f t="shared" si="0"/>
        <v/>
      </c>
      <c r="F33" s="38"/>
      <c r="G33" s="38"/>
      <c r="H33" s="38"/>
      <c r="I33" s="33"/>
      <c r="J33" s="173" t="str" cm="1">
        <f t="array" aca="1" ref="J33" ca="1">IFERROR(_xlfn.IFS(OR(AL33&lt;&gt;"",AP33&lt;&gt;""),"STCOアサイン済",OR(AN33&lt;&gt;"",AO33&lt;&gt;""),"CHAT中"),"")</f>
        <v/>
      </c>
      <c r="K33" s="33"/>
      <c r="L33" s="203"/>
      <c r="M33" s="211"/>
      <c r="N33" s="33"/>
      <c r="O33" s="33"/>
      <c r="Q33" s="124" t="s">
        <v>239</v>
      </c>
      <c r="R33" s="100"/>
      <c r="S33" s="100"/>
      <c r="T33" s="100"/>
      <c r="U33" s="100"/>
      <c r="V33" s="100"/>
      <c r="W33" s="100"/>
      <c r="X33" s="100"/>
      <c r="Y33" s="165"/>
      <c r="Z33" s="100"/>
      <c r="AA33" s="100"/>
      <c r="AB33" s="100"/>
      <c r="AC33" s="100"/>
      <c r="AD33" s="127" t="s">
        <v>240</v>
      </c>
      <c r="AF33" s="109"/>
      <c r="AG33" s="109"/>
      <c r="AH33" s="109"/>
      <c r="AI33" s="109"/>
      <c r="AK33" s="33">
        <f t="shared" si="1"/>
        <v>0</v>
      </c>
      <c r="AL33" s="33" t="e">
        <f t="shared" ca="1" si="2"/>
        <v>#REF!</v>
      </c>
      <c r="AM33" s="33" t="str">
        <f t="shared" si="3"/>
        <v/>
      </c>
      <c r="AN33" s="33" t="e">
        <f t="shared" ca="1" si="4"/>
        <v>#REF!</v>
      </c>
      <c r="AO33" s="174" t="e">
        <f t="shared" ca="1" si="5"/>
        <v>#REF!</v>
      </c>
      <c r="AP33" s="174" t="e">
        <f t="shared" ca="1" si="6"/>
        <v>#REF!</v>
      </c>
    </row>
    <row r="34" spans="1:42">
      <c r="A34" s="33" t="str">
        <f t="shared" si="0"/>
        <v/>
      </c>
      <c r="F34" s="38"/>
      <c r="G34" s="38"/>
      <c r="I34" s="33"/>
      <c r="J34" s="173" t="str" cm="1">
        <f t="array" aca="1" ref="J34" ca="1">IFERROR(_xlfn.IFS(OR(AL34&lt;&gt;"",AP34&lt;&gt;""),"STCOアサイン済",OR(AN34&lt;&gt;"",AO34&lt;&gt;""),"CHAT中"),"")</f>
        <v/>
      </c>
      <c r="K34" s="33"/>
      <c r="L34" s="203"/>
      <c r="M34" s="211"/>
      <c r="N34" s="33"/>
      <c r="O34" s="33"/>
      <c r="Q34" s="124" t="s">
        <v>241</v>
      </c>
      <c r="R34" s="100"/>
      <c r="S34" s="100"/>
      <c r="T34" s="100"/>
      <c r="U34" s="100"/>
      <c r="V34" s="100"/>
      <c r="W34" s="100"/>
      <c r="X34" s="100"/>
      <c r="Y34" s="165"/>
      <c r="Z34" s="100"/>
      <c r="AA34" s="100"/>
      <c r="AB34" s="100"/>
      <c r="AC34" s="100"/>
      <c r="AD34" s="125" t="s">
        <v>242</v>
      </c>
      <c r="AF34" s="109"/>
      <c r="AG34" s="109"/>
      <c r="AH34" s="109"/>
      <c r="AI34" s="109"/>
      <c r="AK34" s="33">
        <f t="shared" si="1"/>
        <v>0</v>
      </c>
      <c r="AL34" s="33" t="e">
        <f t="shared" ca="1" si="2"/>
        <v>#REF!</v>
      </c>
      <c r="AM34" s="33" t="str">
        <f t="shared" si="3"/>
        <v/>
      </c>
      <c r="AN34" s="33" t="e">
        <f t="shared" ca="1" si="4"/>
        <v>#REF!</v>
      </c>
      <c r="AO34" s="174" t="e">
        <f t="shared" ca="1" si="5"/>
        <v>#REF!</v>
      </c>
      <c r="AP34" s="174" t="e">
        <f t="shared" ca="1" si="6"/>
        <v>#REF!</v>
      </c>
    </row>
    <row r="35" spans="1:42">
      <c r="A35" s="33" t="str">
        <f t="shared" si="0"/>
        <v/>
      </c>
      <c r="C35" s="45"/>
      <c r="F35" s="38"/>
      <c r="G35" s="38"/>
      <c r="I35" s="33"/>
      <c r="J35" s="173" t="str" cm="1">
        <f t="array" aca="1" ref="J35" ca="1">IFERROR(_xlfn.IFS(OR(AL35&lt;&gt;"",AP35&lt;&gt;""),"STCOアサイン済",OR(AN35&lt;&gt;"",AO35&lt;&gt;""),"CHAT中"),"")</f>
        <v/>
      </c>
      <c r="K35" s="33"/>
      <c r="L35" s="203"/>
      <c r="M35" s="211"/>
      <c r="N35" s="33"/>
      <c r="O35" s="33"/>
      <c r="Q35" s="124" t="s">
        <v>243</v>
      </c>
      <c r="R35" s="100"/>
      <c r="S35" s="100"/>
      <c r="T35" s="100"/>
      <c r="U35" s="100"/>
      <c r="V35" s="100"/>
      <c r="W35" s="100"/>
      <c r="X35" s="100"/>
      <c r="Y35" s="165"/>
      <c r="Z35" s="100"/>
      <c r="AA35" s="100"/>
      <c r="AB35" s="100"/>
      <c r="AC35" s="100"/>
      <c r="AD35" s="125" t="s">
        <v>244</v>
      </c>
      <c r="AF35" s="109"/>
      <c r="AG35" s="109"/>
      <c r="AH35" s="109"/>
      <c r="AI35" s="109"/>
      <c r="AK35" s="33">
        <f t="shared" si="1"/>
        <v>0</v>
      </c>
      <c r="AL35" s="33" t="e">
        <f t="shared" ca="1" si="2"/>
        <v>#REF!</v>
      </c>
      <c r="AM35" s="33" t="str">
        <f t="shared" si="3"/>
        <v/>
      </c>
      <c r="AN35" s="33" t="e">
        <f t="shared" ca="1" si="4"/>
        <v>#REF!</v>
      </c>
      <c r="AO35" s="174" t="e">
        <f t="shared" ca="1" si="5"/>
        <v>#REF!</v>
      </c>
      <c r="AP35" s="174" t="e">
        <f t="shared" ca="1" si="6"/>
        <v>#REF!</v>
      </c>
    </row>
    <row r="36" spans="1:42">
      <c r="A36" s="33" t="str">
        <f t="shared" si="0"/>
        <v/>
      </c>
      <c r="F36" s="38"/>
      <c r="G36" s="38"/>
      <c r="I36" s="33"/>
      <c r="J36" s="173" t="str" cm="1">
        <f t="array" aca="1" ref="J36" ca="1">IFERROR(_xlfn.IFS(OR(AL36&lt;&gt;"",AP36&lt;&gt;""),"STCOアサイン済",OR(AN36&lt;&gt;"",AO36&lt;&gt;""),"CHAT中"),"")</f>
        <v/>
      </c>
      <c r="K36" s="33"/>
      <c r="L36" s="203"/>
      <c r="M36" s="211"/>
      <c r="N36" s="33"/>
      <c r="O36" s="33"/>
      <c r="Q36" s="106" t="s">
        <v>245</v>
      </c>
      <c r="R36" s="100"/>
      <c r="S36" s="100"/>
      <c r="T36" s="100"/>
      <c r="U36" s="100"/>
      <c r="V36" s="100"/>
      <c r="W36" s="100"/>
      <c r="X36" s="100"/>
      <c r="Y36" s="165"/>
      <c r="Z36" s="100"/>
      <c r="AA36" s="100"/>
      <c r="AB36" s="100"/>
      <c r="AC36" s="100"/>
      <c r="AD36" s="125" t="s">
        <v>246</v>
      </c>
      <c r="AF36" s="109"/>
      <c r="AG36" s="109"/>
      <c r="AH36" s="109"/>
      <c r="AI36" s="109"/>
      <c r="AK36" s="33">
        <f t="shared" si="1"/>
        <v>0</v>
      </c>
      <c r="AL36" s="33" t="e">
        <f t="shared" ca="1" si="2"/>
        <v>#REF!</v>
      </c>
      <c r="AM36" s="33" t="str">
        <f t="shared" si="3"/>
        <v/>
      </c>
      <c r="AN36" s="33" t="e">
        <f t="shared" ca="1" si="4"/>
        <v>#REF!</v>
      </c>
      <c r="AO36" s="174" t="e">
        <f t="shared" ca="1" si="5"/>
        <v>#REF!</v>
      </c>
      <c r="AP36" s="174" t="e">
        <f t="shared" ca="1" si="6"/>
        <v>#REF!</v>
      </c>
    </row>
    <row r="37" spans="1:42">
      <c r="A37" s="33" t="str">
        <f t="shared" si="0"/>
        <v/>
      </c>
      <c r="F37" s="38"/>
      <c r="G37" s="38"/>
      <c r="I37" s="33"/>
      <c r="J37" s="173" t="str" cm="1">
        <f t="array" aca="1" ref="J37" ca="1">IFERROR(_xlfn.IFS(OR(AL37&lt;&gt;"",AP37&lt;&gt;""),"STCOアサイン済",OR(AN37&lt;&gt;"",AO37&lt;&gt;""),"CHAT中"),"")</f>
        <v/>
      </c>
      <c r="K37" s="33"/>
      <c r="L37" s="203"/>
      <c r="M37" s="211"/>
      <c r="N37" s="33"/>
      <c r="O37" s="33"/>
      <c r="Q37" s="128" t="s">
        <v>247</v>
      </c>
      <c r="R37" s="100"/>
      <c r="S37" s="100"/>
      <c r="T37" s="100"/>
      <c r="U37" s="100"/>
      <c r="V37" s="100"/>
      <c r="W37" s="100"/>
      <c r="X37" s="100"/>
      <c r="Y37" s="165"/>
      <c r="Z37" s="100"/>
      <c r="AA37" s="100"/>
      <c r="AB37" s="100"/>
      <c r="AC37" s="100"/>
      <c r="AD37" s="125" t="s">
        <v>248</v>
      </c>
      <c r="AF37" s="109"/>
      <c r="AG37" s="109"/>
      <c r="AH37" s="109"/>
      <c r="AI37" s="109"/>
      <c r="AK37" s="33">
        <f t="shared" si="1"/>
        <v>0</v>
      </c>
      <c r="AL37" s="33" t="e">
        <f t="shared" ca="1" si="2"/>
        <v>#REF!</v>
      </c>
      <c r="AM37" s="33" t="str">
        <f t="shared" si="3"/>
        <v/>
      </c>
      <c r="AN37" s="33" t="e">
        <f t="shared" ca="1" si="4"/>
        <v>#REF!</v>
      </c>
      <c r="AO37" s="174" t="e">
        <f t="shared" ca="1" si="5"/>
        <v>#REF!</v>
      </c>
      <c r="AP37" s="174" t="e">
        <f t="shared" ca="1" si="6"/>
        <v>#REF!</v>
      </c>
    </row>
    <row r="38" spans="1:42">
      <c r="A38" s="33" t="str">
        <f t="shared" si="0"/>
        <v/>
      </c>
      <c r="F38" s="38"/>
      <c r="G38" s="38"/>
      <c r="I38" s="33"/>
      <c r="J38" s="173" t="str" cm="1">
        <f t="array" aca="1" ref="J38" ca="1">IFERROR(_xlfn.IFS(OR(AL38&lt;&gt;"",AP38&lt;&gt;""),"STCOアサイン済",OR(AN38&lt;&gt;"",AO38&lt;&gt;""),"CHAT中"),"")</f>
        <v/>
      </c>
      <c r="K38" s="33"/>
      <c r="L38" s="203"/>
      <c r="M38" s="211"/>
      <c r="N38" s="33"/>
      <c r="O38" s="33"/>
      <c r="Q38" s="128"/>
      <c r="R38" s="100"/>
      <c r="S38" s="100"/>
      <c r="T38" s="100"/>
      <c r="U38" s="100"/>
      <c r="V38" s="100"/>
      <c r="W38" s="100"/>
      <c r="X38" s="100"/>
      <c r="Y38" s="165"/>
      <c r="Z38" s="100"/>
      <c r="AA38" s="100"/>
      <c r="AB38" s="100"/>
      <c r="AC38" s="100"/>
      <c r="AD38" s="129" t="s">
        <v>249</v>
      </c>
      <c r="AF38" s="109"/>
      <c r="AG38" s="109"/>
      <c r="AH38" s="109"/>
      <c r="AI38" s="109"/>
      <c r="AK38" s="33">
        <f t="shared" si="1"/>
        <v>0</v>
      </c>
      <c r="AL38" s="33" t="e">
        <f t="shared" ca="1" si="2"/>
        <v>#REF!</v>
      </c>
      <c r="AM38" s="33" t="str">
        <f t="shared" si="3"/>
        <v/>
      </c>
      <c r="AN38" s="33" t="e">
        <f t="shared" ca="1" si="4"/>
        <v>#REF!</v>
      </c>
      <c r="AO38" s="174" t="e">
        <f t="shared" ca="1" si="5"/>
        <v>#REF!</v>
      </c>
      <c r="AP38" s="174" t="e">
        <f t="shared" ca="1" si="6"/>
        <v>#REF!</v>
      </c>
    </row>
    <row r="39" spans="1:42">
      <c r="A39" s="33" t="str">
        <f t="shared" si="0"/>
        <v/>
      </c>
      <c r="F39" s="38"/>
      <c r="G39" s="38"/>
      <c r="I39" s="33"/>
      <c r="J39" s="173" t="str" cm="1">
        <f t="array" aca="1" ref="J39" ca="1">IFERROR(_xlfn.IFS(OR(AL39&lt;&gt;"",AP39&lt;&gt;""),"STCOアサイン済",OR(AN39&lt;&gt;"",AO39&lt;&gt;""),"CHAT中"),"")</f>
        <v/>
      </c>
      <c r="K39" s="33"/>
      <c r="L39" s="203"/>
      <c r="M39" s="211"/>
      <c r="N39" s="33"/>
      <c r="O39" s="33"/>
      <c r="Q39" s="128"/>
      <c r="R39" s="100"/>
      <c r="S39" s="100"/>
      <c r="T39" s="100"/>
      <c r="U39" s="100"/>
      <c r="V39" s="100"/>
      <c r="W39" s="100"/>
      <c r="X39" s="100"/>
      <c r="Y39" s="165"/>
      <c r="Z39" s="100"/>
      <c r="AA39" s="100"/>
      <c r="AB39" s="100"/>
      <c r="AC39" s="100"/>
      <c r="AD39" s="129" t="s">
        <v>250</v>
      </c>
      <c r="AF39" s="109"/>
      <c r="AG39" s="109"/>
      <c r="AH39" s="109"/>
      <c r="AI39" s="109"/>
      <c r="AK39" s="33">
        <f t="shared" si="1"/>
        <v>0</v>
      </c>
      <c r="AL39" s="33" t="e">
        <f t="shared" ca="1" si="2"/>
        <v>#REF!</v>
      </c>
      <c r="AM39" s="33" t="str">
        <f t="shared" si="3"/>
        <v/>
      </c>
      <c r="AN39" s="33" t="e">
        <f t="shared" ca="1" si="4"/>
        <v>#REF!</v>
      </c>
      <c r="AO39" s="174" t="e">
        <f t="shared" ca="1" si="5"/>
        <v>#REF!</v>
      </c>
      <c r="AP39" s="174" t="e">
        <f t="shared" ca="1" si="6"/>
        <v>#REF!</v>
      </c>
    </row>
    <row r="40" spans="1:42">
      <c r="A40" s="33" t="str">
        <f t="shared" si="0"/>
        <v/>
      </c>
      <c r="F40" s="38"/>
      <c r="G40" s="38"/>
      <c r="I40" s="33"/>
      <c r="J40" s="173" t="str" cm="1">
        <f t="array" aca="1" ref="J40" ca="1">IFERROR(_xlfn.IFS(OR(AL40&lt;&gt;"",AP40&lt;&gt;""),"STCOアサイン済",OR(AN40&lt;&gt;"",AO40&lt;&gt;""),"CHAT中"),"")</f>
        <v/>
      </c>
      <c r="K40" s="33"/>
      <c r="L40" s="203"/>
      <c r="M40" s="211"/>
      <c r="N40" s="33"/>
      <c r="O40" s="33"/>
      <c r="AK40" s="33">
        <f t="shared" si="1"/>
        <v>0</v>
      </c>
      <c r="AL40" s="33" t="e">
        <f t="shared" ca="1" si="2"/>
        <v>#REF!</v>
      </c>
      <c r="AM40" s="33" t="str">
        <f t="shared" si="3"/>
        <v/>
      </c>
      <c r="AN40" s="33" t="e">
        <f t="shared" ca="1" si="4"/>
        <v>#REF!</v>
      </c>
      <c r="AO40" s="174" t="e">
        <f t="shared" ca="1" si="5"/>
        <v>#REF!</v>
      </c>
      <c r="AP40" s="174" t="e">
        <f t="shared" ca="1" si="6"/>
        <v>#REF!</v>
      </c>
    </row>
    <row r="41" spans="1:42" ht="18" customHeight="1">
      <c r="A41" s="33" t="str">
        <f t="shared" si="0"/>
        <v/>
      </c>
      <c r="F41" s="38"/>
      <c r="G41" s="38"/>
      <c r="I41" s="33"/>
      <c r="J41" s="173" t="str" cm="1">
        <f t="array" aca="1" ref="J41" ca="1">IFERROR(_xlfn.IFS(OR(AL41&lt;&gt;"",AP41&lt;&gt;""),"STCOアサイン済",OR(AN41&lt;&gt;"",AO41&lt;&gt;""),"CHAT中"),"")</f>
        <v/>
      </c>
      <c r="K41" s="33"/>
      <c r="L41" s="203"/>
      <c r="M41" s="211"/>
      <c r="N41" s="33"/>
      <c r="O41" s="33"/>
      <c r="AK41" s="33">
        <f t="shared" si="1"/>
        <v>0</v>
      </c>
      <c r="AL41" s="33" t="e">
        <f t="shared" ca="1" si="2"/>
        <v>#REF!</v>
      </c>
      <c r="AM41" s="33" t="str">
        <f t="shared" si="3"/>
        <v/>
      </c>
      <c r="AN41" s="33" t="e">
        <f t="shared" ca="1" si="4"/>
        <v>#REF!</v>
      </c>
      <c r="AO41" s="174" t="e">
        <f t="shared" ca="1" si="5"/>
        <v>#REF!</v>
      </c>
      <c r="AP41" s="174" t="e">
        <f t="shared" ca="1" si="6"/>
        <v>#REF!</v>
      </c>
    </row>
    <row r="42" spans="1:42" ht="18" customHeight="1">
      <c r="A42" s="33" t="str">
        <f t="shared" si="0"/>
        <v/>
      </c>
      <c r="F42" s="38"/>
      <c r="G42" s="38"/>
      <c r="I42" s="33"/>
      <c r="J42" s="173" t="str" cm="1">
        <f t="array" aca="1" ref="J42" ca="1">IFERROR(_xlfn.IFS(OR(AL42&lt;&gt;"",AP42&lt;&gt;""),"STCOアサイン済",OR(AN42&lt;&gt;"",AO42&lt;&gt;""),"CHAT中"),"")</f>
        <v/>
      </c>
      <c r="K42" s="33"/>
      <c r="L42" s="203"/>
      <c r="M42" s="211"/>
      <c r="N42" s="33"/>
      <c r="O42" s="33"/>
      <c r="Q42" s="219" t="s">
        <v>251</v>
      </c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/>
      <c r="AG42" s="219"/>
      <c r="AH42" s="219"/>
      <c r="AI42" s="219"/>
      <c r="AK42" s="33">
        <f t="shared" si="1"/>
        <v>0</v>
      </c>
      <c r="AL42" s="33" t="e">
        <f t="shared" ca="1" si="2"/>
        <v>#REF!</v>
      </c>
      <c r="AM42" s="33" t="str">
        <f t="shared" si="3"/>
        <v/>
      </c>
      <c r="AN42" s="33" t="e">
        <f t="shared" ca="1" si="4"/>
        <v>#REF!</v>
      </c>
      <c r="AO42" s="174" t="e">
        <f t="shared" ca="1" si="5"/>
        <v>#REF!</v>
      </c>
      <c r="AP42" s="174" t="e">
        <f t="shared" ca="1" si="6"/>
        <v>#REF!</v>
      </c>
    </row>
    <row r="43" spans="1:42">
      <c r="A43" s="33" t="str">
        <f t="shared" si="0"/>
        <v/>
      </c>
      <c r="F43" s="38"/>
      <c r="G43" s="38"/>
      <c r="I43" s="33"/>
      <c r="J43" s="173" t="str" cm="1">
        <f t="array" aca="1" ref="J43" ca="1">IFERROR(_xlfn.IFS(OR(AL43&lt;&gt;"",AP43&lt;&gt;""),"STCOアサイン済",OR(AN43&lt;&gt;"",AO43&lt;&gt;""),"CHAT中"),"")</f>
        <v/>
      </c>
      <c r="K43" s="33"/>
      <c r="L43" s="203"/>
      <c r="M43" s="211"/>
      <c r="N43" s="33"/>
      <c r="O43" s="33"/>
      <c r="Q43" s="219"/>
      <c r="R43" s="219"/>
      <c r="S43" s="219"/>
      <c r="T43" s="219"/>
      <c r="U43" s="219"/>
      <c r="V43" s="219"/>
      <c r="W43" s="219"/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K43" s="33">
        <f t="shared" si="1"/>
        <v>0</v>
      </c>
      <c r="AL43" s="33" t="e">
        <f t="shared" ca="1" si="2"/>
        <v>#REF!</v>
      </c>
      <c r="AM43" s="33" t="str">
        <f t="shared" si="3"/>
        <v/>
      </c>
      <c r="AN43" s="33" t="e">
        <f t="shared" ca="1" si="4"/>
        <v>#REF!</v>
      </c>
      <c r="AO43" s="174" t="e">
        <f t="shared" ca="1" si="5"/>
        <v>#REF!</v>
      </c>
      <c r="AP43" s="174" t="e">
        <f t="shared" ca="1" si="6"/>
        <v>#REF!</v>
      </c>
    </row>
    <row r="44" spans="1:42">
      <c r="A44" s="33" t="str">
        <f t="shared" si="0"/>
        <v/>
      </c>
      <c r="F44" s="38"/>
      <c r="G44" s="38"/>
      <c r="I44" s="33"/>
      <c r="J44" s="173" t="str" cm="1">
        <f t="array" aca="1" ref="J44" ca="1">IFERROR(_xlfn.IFS(OR(AL44&lt;&gt;"",AP44&lt;&gt;""),"STCOアサイン済",OR(AN44&lt;&gt;"",AO44&lt;&gt;""),"CHAT中"),"")</f>
        <v/>
      </c>
      <c r="K44" s="33"/>
      <c r="L44" s="203"/>
      <c r="M44" s="211"/>
      <c r="N44" s="33"/>
      <c r="O44" s="33"/>
      <c r="Q44" s="107" t="s">
        <v>252</v>
      </c>
      <c r="R44" s="220" t="s">
        <v>253</v>
      </c>
      <c r="S44" s="220"/>
      <c r="T44" s="220"/>
      <c r="U44" s="220"/>
      <c r="V44" s="220"/>
      <c r="W44" s="220"/>
      <c r="X44" s="220"/>
      <c r="Y44" s="220"/>
      <c r="Z44" s="220"/>
      <c r="AA44" s="220"/>
      <c r="AB44" s="220"/>
      <c r="AC44" s="220"/>
      <c r="AD44" s="220"/>
      <c r="AE44" s="220"/>
      <c r="AF44" s="220"/>
      <c r="AG44" s="220"/>
      <c r="AH44" s="220"/>
      <c r="AI44" s="220"/>
      <c r="AK44" s="33">
        <f t="shared" si="1"/>
        <v>0</v>
      </c>
      <c r="AL44" s="33" t="e">
        <f t="shared" ca="1" si="2"/>
        <v>#REF!</v>
      </c>
      <c r="AM44" s="33" t="str">
        <f t="shared" si="3"/>
        <v/>
      </c>
      <c r="AN44" s="33" t="e">
        <f t="shared" ca="1" si="4"/>
        <v>#REF!</v>
      </c>
      <c r="AO44" s="174" t="e">
        <f t="shared" ca="1" si="5"/>
        <v>#REF!</v>
      </c>
      <c r="AP44" s="174" t="e">
        <f t="shared" ca="1" si="6"/>
        <v>#REF!</v>
      </c>
    </row>
    <row r="45" spans="1:42">
      <c r="A45" s="33" t="str">
        <f t="shared" si="0"/>
        <v/>
      </c>
      <c r="F45" s="38"/>
      <c r="G45" s="38"/>
      <c r="I45" s="33"/>
      <c r="J45" s="173" t="str" cm="1">
        <f t="array" aca="1" ref="J45" ca="1">IFERROR(_xlfn.IFS(OR(AL45&lt;&gt;"",AP45&lt;&gt;""),"STCOアサイン済",OR(AN45&lt;&gt;"",AO45&lt;&gt;""),"CHAT中"),"")</f>
        <v/>
      </c>
      <c r="K45" s="33"/>
      <c r="L45" s="203"/>
      <c r="M45" s="211"/>
      <c r="N45" s="33"/>
      <c r="O45" s="33"/>
      <c r="Q45" s="105" t="s">
        <v>195</v>
      </c>
      <c r="R45" s="108" t="s">
        <v>254</v>
      </c>
      <c r="S45" s="109"/>
      <c r="T45" s="109"/>
      <c r="U45" s="109"/>
      <c r="V45" s="109"/>
      <c r="W45" s="109"/>
      <c r="X45" s="109"/>
      <c r="Y45" s="166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K45" s="33">
        <f t="shared" si="1"/>
        <v>0</v>
      </c>
      <c r="AL45" s="33" t="e">
        <f t="shared" ca="1" si="2"/>
        <v>#REF!</v>
      </c>
      <c r="AM45" s="33" t="str">
        <f t="shared" si="3"/>
        <v/>
      </c>
      <c r="AN45" s="33" t="e">
        <f t="shared" ca="1" si="4"/>
        <v>#REF!</v>
      </c>
      <c r="AO45" s="174" t="e">
        <f t="shared" ca="1" si="5"/>
        <v>#REF!</v>
      </c>
      <c r="AP45" s="174" t="e">
        <f t="shared" ca="1" si="6"/>
        <v>#REF!</v>
      </c>
    </row>
    <row r="46" spans="1:42">
      <c r="A46" s="33" t="str">
        <f t="shared" si="0"/>
        <v/>
      </c>
      <c r="F46" s="38"/>
      <c r="G46" s="38"/>
      <c r="I46" s="33"/>
      <c r="J46" s="173" t="str" cm="1">
        <f t="array" aca="1" ref="J46" ca="1">IFERROR(_xlfn.IFS(OR(AL46&lt;&gt;"",AP46&lt;&gt;""),"STCOアサイン済",OR(AN46&lt;&gt;"",AO46&lt;&gt;""),"CHAT中"),"")</f>
        <v/>
      </c>
      <c r="K46" s="33"/>
      <c r="L46" s="203"/>
      <c r="M46" s="211"/>
      <c r="N46" s="33"/>
      <c r="O46" s="33"/>
      <c r="Q46" s="105" t="s">
        <v>29</v>
      </c>
      <c r="R46" s="108" t="s">
        <v>255</v>
      </c>
      <c r="S46" s="109"/>
      <c r="T46" s="109"/>
      <c r="U46" s="109"/>
      <c r="V46" s="109"/>
      <c r="W46" s="109"/>
      <c r="X46" s="109"/>
      <c r="Y46" s="166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K46" s="33">
        <f t="shared" si="1"/>
        <v>0</v>
      </c>
      <c r="AL46" s="33" t="e">
        <f t="shared" ca="1" si="2"/>
        <v>#REF!</v>
      </c>
      <c r="AM46" s="33" t="str">
        <f t="shared" si="3"/>
        <v/>
      </c>
      <c r="AN46" s="33" t="e">
        <f t="shared" ca="1" si="4"/>
        <v>#REF!</v>
      </c>
      <c r="AO46" s="174" t="e">
        <f t="shared" ca="1" si="5"/>
        <v>#REF!</v>
      </c>
      <c r="AP46" s="174" t="e">
        <f t="shared" ca="1" si="6"/>
        <v>#REF!</v>
      </c>
    </row>
    <row r="47" spans="1:42" ht="19.5" thickBot="1">
      <c r="A47" s="33" t="str">
        <f t="shared" si="0"/>
        <v/>
      </c>
      <c r="F47" s="38"/>
      <c r="G47" s="38"/>
      <c r="I47" s="33"/>
      <c r="J47" s="173" t="str" cm="1">
        <f t="array" aca="1" ref="J47" ca="1">IFERROR(_xlfn.IFS(OR(AL47&lt;&gt;"",AP47&lt;&gt;""),"STCOアサイン済",OR(AN47&lt;&gt;"",AO47&lt;&gt;""),"CHAT中"),"")</f>
        <v/>
      </c>
      <c r="K47" s="33"/>
      <c r="L47" s="203"/>
      <c r="M47" s="208" t="s">
        <v>256</v>
      </c>
      <c r="N47" s="33"/>
      <c r="O47" s="33"/>
      <c r="Q47" s="105" t="s">
        <v>257</v>
      </c>
      <c r="R47" s="108" t="s">
        <v>258</v>
      </c>
      <c r="S47" s="109"/>
      <c r="T47" s="109"/>
      <c r="U47" s="109"/>
      <c r="V47" s="109"/>
      <c r="W47" s="109"/>
      <c r="X47" s="109"/>
      <c r="Y47" s="166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K47" s="33">
        <f t="shared" si="1"/>
        <v>0</v>
      </c>
      <c r="AL47" s="33" t="e">
        <f t="shared" ca="1" si="2"/>
        <v>#REF!</v>
      </c>
      <c r="AM47" s="33" t="str">
        <f t="shared" si="3"/>
        <v/>
      </c>
      <c r="AN47" s="33" t="e">
        <f t="shared" ca="1" si="4"/>
        <v>#REF!</v>
      </c>
      <c r="AO47" s="174" t="e">
        <f t="shared" ca="1" si="5"/>
        <v>#REF!</v>
      </c>
      <c r="AP47" s="174" t="e">
        <f t="shared" ca="1" si="6"/>
        <v>#REF!</v>
      </c>
    </row>
    <row r="48" spans="1:42" ht="20.25" thickTop="1" thickBot="1">
      <c r="A48" s="33" t="str">
        <f t="shared" si="0"/>
        <v/>
      </c>
      <c r="F48" s="38"/>
      <c r="G48" s="38"/>
      <c r="I48" s="33"/>
      <c r="J48" s="173" t="str" cm="1">
        <f t="array" aca="1" ref="J48" ca="1">IFERROR(_xlfn.IFS(OR(AL48&lt;&gt;"",AP48&lt;&gt;""),"STCOアサイン済",OR(AN48&lt;&gt;"",AO48&lt;&gt;""),"CHAT中"),"")</f>
        <v/>
      </c>
      <c r="K48" s="33"/>
      <c r="L48" s="203"/>
      <c r="M48" s="208"/>
      <c r="N48" s="33"/>
      <c r="O48" s="33"/>
      <c r="Q48" s="105" t="s">
        <v>259</v>
      </c>
      <c r="R48" s="108" t="s">
        <v>260</v>
      </c>
      <c r="S48" s="109"/>
      <c r="T48" s="109"/>
      <c r="U48" s="109"/>
      <c r="V48" s="109"/>
      <c r="W48" s="109"/>
      <c r="X48" s="109"/>
      <c r="Y48" s="166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K48" s="33">
        <f t="shared" si="1"/>
        <v>0</v>
      </c>
      <c r="AL48" s="33" t="e">
        <f t="shared" ca="1" si="2"/>
        <v>#REF!</v>
      </c>
      <c r="AM48" s="33" t="str">
        <f t="shared" si="3"/>
        <v/>
      </c>
      <c r="AN48" s="33" t="e">
        <f t="shared" ca="1" si="4"/>
        <v>#REF!</v>
      </c>
      <c r="AO48" s="174" t="e">
        <f t="shared" ca="1" si="5"/>
        <v>#REF!</v>
      </c>
      <c r="AP48" s="174" t="e">
        <f t="shared" ca="1" si="6"/>
        <v>#REF!</v>
      </c>
    </row>
    <row r="49" spans="1:42" ht="20.25" thickTop="1" thickBot="1">
      <c r="A49" s="33" t="str">
        <f t="shared" si="0"/>
        <v/>
      </c>
      <c r="F49" s="38"/>
      <c r="G49" s="38"/>
      <c r="I49" s="33"/>
      <c r="J49" s="173" t="str" cm="1">
        <f t="array" aca="1" ref="J49" ca="1">IFERROR(_xlfn.IFS(OR(AL49&lt;&gt;"",AP49&lt;&gt;""),"STCOアサイン済",OR(AN49&lt;&gt;"",AO49&lt;&gt;""),"CHAT中"),"")</f>
        <v/>
      </c>
      <c r="K49" s="33"/>
      <c r="L49" s="203"/>
      <c r="M49" s="208"/>
      <c r="N49" s="33"/>
      <c r="O49" s="33"/>
      <c r="Q49" s="106" t="s">
        <v>261</v>
      </c>
      <c r="R49" s="108" t="s">
        <v>262</v>
      </c>
      <c r="S49" s="109"/>
      <c r="T49" s="109"/>
      <c r="U49" s="109"/>
      <c r="V49" s="109"/>
      <c r="W49" s="109"/>
      <c r="X49" s="109"/>
      <c r="Y49" s="166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K49" s="33">
        <f t="shared" si="1"/>
        <v>0</v>
      </c>
      <c r="AL49" s="33" t="e">
        <f t="shared" ca="1" si="2"/>
        <v>#REF!</v>
      </c>
      <c r="AM49" s="33" t="str">
        <f t="shared" si="3"/>
        <v/>
      </c>
      <c r="AN49" s="33" t="e">
        <f t="shared" ca="1" si="4"/>
        <v>#REF!</v>
      </c>
      <c r="AO49" s="174" t="e">
        <f t="shared" ca="1" si="5"/>
        <v>#REF!</v>
      </c>
      <c r="AP49" s="174" t="e">
        <f t="shared" ca="1" si="6"/>
        <v>#REF!</v>
      </c>
    </row>
    <row r="50" spans="1:42" ht="20.25" thickTop="1" thickBot="1">
      <c r="A50" s="33" t="str">
        <f t="shared" si="0"/>
        <v/>
      </c>
      <c r="F50" s="38"/>
      <c r="G50" s="38"/>
      <c r="I50" s="33"/>
      <c r="J50" s="173" t="str" cm="1">
        <f t="array" aca="1" ref="J50" ca="1">IFERROR(_xlfn.IFS(OR(AL50&lt;&gt;"",AP50&lt;&gt;""),"STCOアサイン済",OR(AN50&lt;&gt;"",AO50&lt;&gt;""),"CHAT中"),"")</f>
        <v/>
      </c>
      <c r="K50" s="33"/>
      <c r="L50" s="203"/>
      <c r="M50" s="208"/>
      <c r="N50" s="33"/>
      <c r="O50" s="33"/>
      <c r="AK50" s="33">
        <f t="shared" si="1"/>
        <v>0</v>
      </c>
      <c r="AL50" s="33" t="e">
        <f t="shared" ca="1" si="2"/>
        <v>#REF!</v>
      </c>
      <c r="AM50" s="33" t="str">
        <f t="shared" si="3"/>
        <v/>
      </c>
      <c r="AN50" s="33" t="e">
        <f t="shared" ca="1" si="4"/>
        <v>#REF!</v>
      </c>
      <c r="AO50" s="174" t="e">
        <f t="shared" ca="1" si="5"/>
        <v>#REF!</v>
      </c>
      <c r="AP50" s="174" t="e">
        <f t="shared" ca="1" si="6"/>
        <v>#REF!</v>
      </c>
    </row>
    <row r="51" spans="1:42" ht="19.5" thickTop="1">
      <c r="A51" s="33" t="str">
        <f t="shared" si="0"/>
        <v/>
      </c>
      <c r="F51" s="38"/>
      <c r="G51" s="38"/>
      <c r="I51" s="33"/>
      <c r="J51" s="173" t="str" cm="1">
        <f t="array" aca="1" ref="J51" ca="1">IFERROR(_xlfn.IFS(OR(AL51&lt;&gt;"",AP51&lt;&gt;""),"STCOアサイン済",OR(AN51&lt;&gt;"",AO51&lt;&gt;""),"CHAT中"),"")</f>
        <v/>
      </c>
      <c r="K51" s="33"/>
      <c r="L51" s="33"/>
      <c r="M51" s="33"/>
      <c r="N51" s="33"/>
      <c r="O51" s="33"/>
      <c r="AK51" s="33">
        <f t="shared" si="1"/>
        <v>0</v>
      </c>
      <c r="AL51" s="33" t="e">
        <f t="shared" ca="1" si="2"/>
        <v>#REF!</v>
      </c>
      <c r="AM51" s="33" t="str">
        <f t="shared" si="3"/>
        <v/>
      </c>
      <c r="AN51" s="33" t="e">
        <f t="shared" ca="1" si="4"/>
        <v>#REF!</v>
      </c>
      <c r="AO51" s="174" t="e">
        <f t="shared" ca="1" si="5"/>
        <v>#REF!</v>
      </c>
      <c r="AP51" s="174" t="e">
        <f t="shared" ca="1" si="6"/>
        <v>#REF!</v>
      </c>
    </row>
    <row r="52" spans="1:42">
      <c r="A52" s="33" t="str">
        <f t="shared" si="0"/>
        <v/>
      </c>
      <c r="F52" s="38"/>
      <c r="G52" s="38"/>
      <c r="I52" s="33"/>
      <c r="J52" s="173" t="str" cm="1">
        <f t="array" aca="1" ref="J52" ca="1">IFERROR(_xlfn.IFS(OR(AL52&lt;&gt;"",AP52&lt;&gt;""),"STCOアサイン済",OR(AN52&lt;&gt;"",AO52&lt;&gt;""),"CHAT中"),"")</f>
        <v/>
      </c>
      <c r="K52" s="33"/>
      <c r="L52" s="33"/>
      <c r="M52" s="33"/>
      <c r="N52" s="33"/>
      <c r="O52" s="33"/>
      <c r="AK52" s="33">
        <f t="shared" si="1"/>
        <v>0</v>
      </c>
      <c r="AL52" s="33" t="e">
        <f t="shared" ca="1" si="2"/>
        <v>#REF!</v>
      </c>
      <c r="AM52" s="33" t="str">
        <f t="shared" si="3"/>
        <v/>
      </c>
      <c r="AN52" s="33" t="e">
        <f t="shared" ca="1" si="4"/>
        <v>#REF!</v>
      </c>
      <c r="AO52" s="174" t="e">
        <f t="shared" ca="1" si="5"/>
        <v>#REF!</v>
      </c>
      <c r="AP52" s="174" t="e">
        <f t="shared" ca="1" si="6"/>
        <v>#REF!</v>
      </c>
    </row>
    <row r="53" spans="1:42">
      <c r="A53" s="33" t="str">
        <f t="shared" si="0"/>
        <v/>
      </c>
      <c r="F53" s="38"/>
      <c r="G53" s="38"/>
      <c r="I53" s="33"/>
      <c r="J53" s="173" t="str" cm="1">
        <f t="array" aca="1" ref="J53" ca="1">IFERROR(_xlfn.IFS(OR(AL53&lt;&gt;"",AP53&lt;&gt;""),"STCOアサイン済",OR(AN53&lt;&gt;"",AO53&lt;&gt;""),"CHAT中"),"")</f>
        <v/>
      </c>
      <c r="K53" s="33"/>
      <c r="L53" s="33"/>
      <c r="M53" s="33"/>
      <c r="N53" s="33"/>
      <c r="O53" s="33"/>
      <c r="AK53" s="33">
        <f t="shared" si="1"/>
        <v>0</v>
      </c>
      <c r="AL53" s="33" t="e">
        <f t="shared" ca="1" si="2"/>
        <v>#REF!</v>
      </c>
      <c r="AM53" s="33" t="str">
        <f t="shared" si="3"/>
        <v/>
      </c>
      <c r="AN53" s="33" t="e">
        <f t="shared" ca="1" si="4"/>
        <v>#REF!</v>
      </c>
      <c r="AO53" s="174" t="e">
        <f t="shared" ca="1" si="5"/>
        <v>#REF!</v>
      </c>
      <c r="AP53" s="174" t="e">
        <f t="shared" ca="1" si="6"/>
        <v>#REF!</v>
      </c>
    </row>
    <row r="54" spans="1:42">
      <c r="A54" s="33" t="str">
        <f t="shared" si="0"/>
        <v/>
      </c>
      <c r="F54" s="38"/>
      <c r="G54" s="38"/>
      <c r="I54" s="33"/>
      <c r="J54" s="173" t="str" cm="1">
        <f t="array" aca="1" ref="J54" ca="1">IFERROR(_xlfn.IFS(OR(AL54&lt;&gt;"",AP54&lt;&gt;""),"STCOアサイン済",OR(AN54&lt;&gt;"",AO54&lt;&gt;""),"CHAT中"),"")</f>
        <v/>
      </c>
      <c r="K54" s="33"/>
      <c r="L54" s="33"/>
      <c r="M54" s="33"/>
      <c r="N54" s="33"/>
      <c r="O54" s="33"/>
      <c r="AK54" s="33">
        <f t="shared" si="1"/>
        <v>0</v>
      </c>
      <c r="AL54" s="33" t="e">
        <f t="shared" ca="1" si="2"/>
        <v>#REF!</v>
      </c>
      <c r="AM54" s="33" t="str">
        <f t="shared" si="3"/>
        <v/>
      </c>
      <c r="AN54" s="33" t="e">
        <f t="shared" ca="1" si="4"/>
        <v>#REF!</v>
      </c>
      <c r="AO54" s="174" t="e">
        <f t="shared" ca="1" si="5"/>
        <v>#REF!</v>
      </c>
      <c r="AP54" s="174" t="e">
        <f t="shared" ca="1" si="6"/>
        <v>#REF!</v>
      </c>
    </row>
    <row r="55" spans="1:42">
      <c r="A55" s="33" t="str">
        <f t="shared" si="0"/>
        <v/>
      </c>
      <c r="F55" s="38"/>
      <c r="G55" s="38"/>
      <c r="I55" s="33"/>
      <c r="J55" s="173" t="str" cm="1">
        <f t="array" aca="1" ref="J55" ca="1">IFERROR(_xlfn.IFS(OR(AL55&lt;&gt;"",AP55&lt;&gt;""),"STCOアサイン済",OR(AN55&lt;&gt;"",AO55&lt;&gt;""),"CHAT中"),"")</f>
        <v/>
      </c>
      <c r="K55" s="33"/>
      <c r="L55" s="33"/>
      <c r="M55" s="33"/>
      <c r="N55" s="33"/>
      <c r="O55" s="33"/>
      <c r="AK55" s="33">
        <f t="shared" si="1"/>
        <v>0</v>
      </c>
      <c r="AL55" s="33" t="e">
        <f t="shared" ca="1" si="2"/>
        <v>#REF!</v>
      </c>
      <c r="AM55" s="33" t="str">
        <f t="shared" si="3"/>
        <v/>
      </c>
      <c r="AN55" s="33" t="e">
        <f t="shared" ca="1" si="4"/>
        <v>#REF!</v>
      </c>
      <c r="AO55" s="174" t="e">
        <f t="shared" ca="1" si="5"/>
        <v>#REF!</v>
      </c>
      <c r="AP55" s="174" t="e">
        <f t="shared" ca="1" si="6"/>
        <v>#REF!</v>
      </c>
    </row>
    <row r="56" spans="1:42">
      <c r="A56" s="33" t="str">
        <f t="shared" si="0"/>
        <v/>
      </c>
      <c r="F56" s="38"/>
      <c r="G56" s="38"/>
      <c r="I56" s="33"/>
      <c r="J56" s="173" t="str" cm="1">
        <f t="array" aca="1" ref="J56" ca="1">IFERROR(_xlfn.IFS(OR(AL56&lt;&gt;"",AP56&lt;&gt;""),"STCOアサイン済",OR(AN56&lt;&gt;"",AO56&lt;&gt;""),"CHAT中"),"")</f>
        <v/>
      </c>
      <c r="K56" s="33"/>
      <c r="L56" s="33"/>
      <c r="M56" s="33"/>
      <c r="N56" s="33"/>
      <c r="O56" s="33"/>
      <c r="AK56" s="33">
        <f t="shared" si="1"/>
        <v>0</v>
      </c>
      <c r="AL56" s="33" t="e">
        <f t="shared" ca="1" si="2"/>
        <v>#REF!</v>
      </c>
      <c r="AM56" s="33" t="str">
        <f t="shared" si="3"/>
        <v/>
      </c>
      <c r="AN56" s="33" t="e">
        <f t="shared" ca="1" si="4"/>
        <v>#REF!</v>
      </c>
      <c r="AO56" s="174" t="e">
        <f t="shared" ca="1" si="5"/>
        <v>#REF!</v>
      </c>
      <c r="AP56" s="174" t="e">
        <f t="shared" ca="1" si="6"/>
        <v>#REF!</v>
      </c>
    </row>
    <row r="57" spans="1:42">
      <c r="A57" s="33" t="str">
        <f t="shared" si="0"/>
        <v/>
      </c>
      <c r="F57" s="38"/>
      <c r="G57" s="38"/>
      <c r="I57" s="33"/>
      <c r="J57" s="173" t="str" cm="1">
        <f t="array" aca="1" ref="J57" ca="1">IFERROR(_xlfn.IFS(OR(AL57&lt;&gt;"",AP57&lt;&gt;""),"STCOアサイン済",OR(AN57&lt;&gt;"",AO57&lt;&gt;""),"CHAT中"),"")</f>
        <v/>
      </c>
      <c r="K57" s="33"/>
      <c r="L57" s="33"/>
      <c r="M57" s="33"/>
      <c r="N57" s="33"/>
      <c r="O57" s="33"/>
      <c r="AK57" s="33">
        <f t="shared" si="1"/>
        <v>0</v>
      </c>
      <c r="AL57" s="33" t="e">
        <f t="shared" ca="1" si="2"/>
        <v>#REF!</v>
      </c>
      <c r="AM57" s="33" t="str">
        <f t="shared" si="3"/>
        <v/>
      </c>
      <c r="AN57" s="33" t="e">
        <f t="shared" ca="1" si="4"/>
        <v>#REF!</v>
      </c>
      <c r="AO57" s="174" t="e">
        <f t="shared" ca="1" si="5"/>
        <v>#REF!</v>
      </c>
      <c r="AP57" s="174" t="e">
        <f t="shared" ca="1" si="6"/>
        <v>#REF!</v>
      </c>
    </row>
    <row r="58" spans="1:42">
      <c r="A58" s="33" t="str">
        <f t="shared" si="0"/>
        <v/>
      </c>
      <c r="F58" s="38"/>
      <c r="G58" s="38"/>
      <c r="I58" s="33"/>
      <c r="J58" s="173" t="str" cm="1">
        <f t="array" aca="1" ref="J58" ca="1">IFERROR(_xlfn.IFS(OR(AL58&lt;&gt;"",AP58&lt;&gt;""),"STCOアサイン済",OR(AN58&lt;&gt;"",AO58&lt;&gt;""),"CHAT中"),"")</f>
        <v/>
      </c>
      <c r="K58" s="33"/>
      <c r="L58" s="33"/>
      <c r="M58" s="33"/>
      <c r="N58" s="33"/>
      <c r="O58" s="33"/>
      <c r="AK58" s="33">
        <f t="shared" si="1"/>
        <v>0</v>
      </c>
      <c r="AL58" s="33" t="e">
        <f t="shared" ca="1" si="2"/>
        <v>#REF!</v>
      </c>
      <c r="AM58" s="33" t="str">
        <f t="shared" si="3"/>
        <v/>
      </c>
      <c r="AN58" s="33" t="e">
        <f t="shared" ca="1" si="4"/>
        <v>#REF!</v>
      </c>
      <c r="AO58" s="174" t="e">
        <f t="shared" ca="1" si="5"/>
        <v>#REF!</v>
      </c>
      <c r="AP58" s="174" t="e">
        <f t="shared" ca="1" si="6"/>
        <v>#REF!</v>
      </c>
    </row>
    <row r="59" spans="1:42">
      <c r="A59" s="33" t="str">
        <f t="shared" si="0"/>
        <v/>
      </c>
      <c r="F59" s="38"/>
      <c r="G59" s="38"/>
      <c r="I59" s="33"/>
      <c r="J59" s="173" t="str" cm="1">
        <f t="array" aca="1" ref="J59" ca="1">IFERROR(_xlfn.IFS(OR(AL59&lt;&gt;"",AP59&lt;&gt;""),"STCOアサイン済",OR(AN59&lt;&gt;"",AO59&lt;&gt;""),"CHAT中"),"")</f>
        <v/>
      </c>
      <c r="K59" s="33"/>
      <c r="L59" s="33"/>
      <c r="M59" s="33"/>
      <c r="N59" s="33"/>
      <c r="O59" s="33"/>
      <c r="AK59" s="33">
        <f t="shared" si="1"/>
        <v>0</v>
      </c>
      <c r="AL59" s="33" t="e">
        <f t="shared" ca="1" si="2"/>
        <v>#REF!</v>
      </c>
      <c r="AM59" s="33" t="str">
        <f t="shared" si="3"/>
        <v/>
      </c>
      <c r="AN59" s="33" t="e">
        <f t="shared" ca="1" si="4"/>
        <v>#REF!</v>
      </c>
      <c r="AO59" s="174" t="e">
        <f t="shared" ca="1" si="5"/>
        <v>#REF!</v>
      </c>
      <c r="AP59" s="174" t="e">
        <f t="shared" ca="1" si="6"/>
        <v>#REF!</v>
      </c>
    </row>
    <row r="60" spans="1:42">
      <c r="A60" s="33" t="str">
        <f t="shared" si="0"/>
        <v/>
      </c>
      <c r="F60" s="38"/>
      <c r="G60" s="38"/>
      <c r="I60" s="33"/>
      <c r="J60" s="173" t="str" cm="1">
        <f t="array" aca="1" ref="J60" ca="1">IFERROR(_xlfn.IFS(OR(AL60&lt;&gt;"",AP60&lt;&gt;""),"STCOアサイン済",OR(AN60&lt;&gt;"",AO60&lt;&gt;""),"CHAT中"),"")</f>
        <v/>
      </c>
      <c r="K60" s="33"/>
      <c r="L60" s="33"/>
      <c r="M60" s="33"/>
      <c r="N60" s="33"/>
      <c r="O60" s="33"/>
      <c r="AK60" s="33">
        <f t="shared" si="1"/>
        <v>0</v>
      </c>
      <c r="AL60" s="33" t="e">
        <f t="shared" ca="1" si="2"/>
        <v>#REF!</v>
      </c>
      <c r="AM60" s="33" t="str">
        <f t="shared" si="3"/>
        <v/>
      </c>
      <c r="AN60" s="33" t="e">
        <f t="shared" ca="1" si="4"/>
        <v>#REF!</v>
      </c>
      <c r="AO60" s="174" t="e">
        <f t="shared" ca="1" si="5"/>
        <v>#REF!</v>
      </c>
      <c r="AP60" s="174" t="e">
        <f t="shared" ca="1" si="6"/>
        <v>#REF!</v>
      </c>
    </row>
    <row r="61" spans="1:42">
      <c r="A61" s="33" t="str">
        <f t="shared" si="0"/>
        <v/>
      </c>
      <c r="F61" s="38"/>
      <c r="G61" s="38"/>
      <c r="I61" s="33"/>
      <c r="J61" s="173" t="str" cm="1">
        <f t="array" aca="1" ref="J61" ca="1">IFERROR(_xlfn.IFS(OR(AL61&lt;&gt;"",AP61&lt;&gt;""),"STCOアサイン済",OR(AN61&lt;&gt;"",AO61&lt;&gt;""),"CHAT中"),"")</f>
        <v/>
      </c>
      <c r="K61" s="33"/>
      <c r="L61" s="33"/>
      <c r="M61" s="33"/>
      <c r="N61" s="33"/>
      <c r="O61" s="33"/>
      <c r="AK61" s="33">
        <f t="shared" si="1"/>
        <v>0</v>
      </c>
      <c r="AL61" s="33" t="e">
        <f t="shared" ca="1" si="2"/>
        <v>#REF!</v>
      </c>
      <c r="AM61" s="33" t="str">
        <f t="shared" si="3"/>
        <v/>
      </c>
      <c r="AN61" s="33" t="e">
        <f t="shared" ca="1" si="4"/>
        <v>#REF!</v>
      </c>
      <c r="AO61" s="174" t="e">
        <f t="shared" ca="1" si="5"/>
        <v>#REF!</v>
      </c>
      <c r="AP61" s="174" t="e">
        <f t="shared" ca="1" si="6"/>
        <v>#REF!</v>
      </c>
    </row>
    <row r="62" spans="1:42">
      <c r="A62" s="33" t="str">
        <f t="shared" si="0"/>
        <v/>
      </c>
      <c r="F62" s="38"/>
      <c r="G62" s="38"/>
      <c r="I62" s="33"/>
      <c r="J62" s="173" t="str" cm="1">
        <f t="array" aca="1" ref="J62" ca="1">IFERROR(_xlfn.IFS(OR(AL62&lt;&gt;"",AP62&lt;&gt;""),"STCOアサイン済",OR(AN62&lt;&gt;"",AO62&lt;&gt;""),"CHAT中"),"")</f>
        <v/>
      </c>
      <c r="K62" s="33"/>
      <c r="L62" s="33"/>
      <c r="M62" s="33"/>
      <c r="N62" s="33"/>
      <c r="O62" s="33"/>
      <c r="AK62" s="33">
        <f t="shared" si="1"/>
        <v>0</v>
      </c>
      <c r="AL62" s="33" t="e">
        <f t="shared" ca="1" si="2"/>
        <v>#REF!</v>
      </c>
      <c r="AM62" s="33" t="str">
        <f t="shared" si="3"/>
        <v/>
      </c>
      <c r="AN62" s="33" t="e">
        <f t="shared" ca="1" si="4"/>
        <v>#REF!</v>
      </c>
      <c r="AO62" s="174" t="e">
        <f t="shared" ca="1" si="5"/>
        <v>#REF!</v>
      </c>
      <c r="AP62" s="174" t="e">
        <f t="shared" ca="1" si="6"/>
        <v>#REF!</v>
      </c>
    </row>
    <row r="63" spans="1:42">
      <c r="A63" s="33" t="str">
        <f t="shared" si="0"/>
        <v/>
      </c>
      <c r="F63" s="38"/>
      <c r="G63" s="38"/>
      <c r="I63" s="33"/>
      <c r="J63" s="173" t="str" cm="1">
        <f t="array" aca="1" ref="J63" ca="1">IFERROR(_xlfn.IFS(OR(AL63&lt;&gt;"",AP63&lt;&gt;""),"STCOアサイン済",OR(AN63&lt;&gt;"",AO63&lt;&gt;""),"CHAT中"),"")</f>
        <v/>
      </c>
      <c r="K63" s="33"/>
      <c r="L63" s="33"/>
      <c r="M63" s="33"/>
      <c r="N63" s="33"/>
      <c r="O63" s="33"/>
      <c r="AK63" s="33">
        <f t="shared" si="1"/>
        <v>0</v>
      </c>
      <c r="AL63" s="33" t="e">
        <f t="shared" ca="1" si="2"/>
        <v>#REF!</v>
      </c>
      <c r="AM63" s="33" t="str">
        <f t="shared" si="3"/>
        <v/>
      </c>
      <c r="AN63" s="33" t="e">
        <f t="shared" ca="1" si="4"/>
        <v>#REF!</v>
      </c>
      <c r="AO63" s="174" t="e">
        <f t="shared" ca="1" si="5"/>
        <v>#REF!</v>
      </c>
      <c r="AP63" s="174" t="e">
        <f t="shared" ca="1" si="6"/>
        <v>#REF!</v>
      </c>
    </row>
    <row r="64" spans="1:42">
      <c r="A64" s="33" t="str">
        <f t="shared" si="0"/>
        <v/>
      </c>
      <c r="F64" s="38"/>
      <c r="G64" s="38"/>
      <c r="I64" s="33"/>
      <c r="J64" s="173" t="str" cm="1">
        <f t="array" aca="1" ref="J64" ca="1">IFERROR(_xlfn.IFS(OR(AL64&lt;&gt;"",AP64&lt;&gt;""),"STCOアサイン済",OR(AN64&lt;&gt;"",AO64&lt;&gt;""),"CHAT中"),"")</f>
        <v/>
      </c>
      <c r="K64" s="33"/>
      <c r="L64" s="33"/>
      <c r="M64" s="33"/>
      <c r="N64" s="33"/>
      <c r="O64" s="33"/>
      <c r="AK64" s="33">
        <f t="shared" si="1"/>
        <v>0</v>
      </c>
      <c r="AL64" s="33" t="e">
        <f t="shared" ca="1" si="2"/>
        <v>#REF!</v>
      </c>
      <c r="AM64" s="33" t="str">
        <f t="shared" si="3"/>
        <v/>
      </c>
      <c r="AN64" s="33" t="e">
        <f t="shared" ca="1" si="4"/>
        <v>#REF!</v>
      </c>
      <c r="AO64" s="174" t="e">
        <f t="shared" ca="1" si="5"/>
        <v>#REF!</v>
      </c>
      <c r="AP64" s="174" t="e">
        <f t="shared" ca="1" si="6"/>
        <v>#REF!</v>
      </c>
    </row>
    <row r="65" spans="1:42">
      <c r="A65" s="33" t="str">
        <f t="shared" si="0"/>
        <v/>
      </c>
      <c r="F65" s="38"/>
      <c r="G65" s="38"/>
      <c r="I65" s="33"/>
      <c r="J65" s="173" t="str" cm="1">
        <f t="array" aca="1" ref="J65" ca="1">IFERROR(_xlfn.IFS(OR(AL65&lt;&gt;"",AP65&lt;&gt;""),"STCOアサイン済",OR(AN65&lt;&gt;"",AO65&lt;&gt;""),"CHAT中"),"")</f>
        <v/>
      </c>
      <c r="K65" s="33"/>
      <c r="L65" s="33"/>
      <c r="M65" s="33"/>
      <c r="N65" s="33"/>
      <c r="O65" s="33"/>
      <c r="AK65" s="33">
        <f t="shared" si="1"/>
        <v>0</v>
      </c>
      <c r="AL65" s="33" t="e">
        <f t="shared" ca="1" si="2"/>
        <v>#REF!</v>
      </c>
      <c r="AM65" s="33" t="str">
        <f t="shared" si="3"/>
        <v/>
      </c>
      <c r="AN65" s="33" t="e">
        <f t="shared" ca="1" si="4"/>
        <v>#REF!</v>
      </c>
      <c r="AO65" s="174" t="e">
        <f t="shared" ca="1" si="5"/>
        <v>#REF!</v>
      </c>
      <c r="AP65" s="174" t="e">
        <f t="shared" ca="1" si="6"/>
        <v>#REF!</v>
      </c>
    </row>
    <row r="66" spans="1:42">
      <c r="A66" s="33" t="str">
        <f t="shared" si="0"/>
        <v/>
      </c>
      <c r="F66" s="38"/>
      <c r="G66" s="38"/>
      <c r="I66" s="33"/>
      <c r="J66" s="173" t="str" cm="1">
        <f t="array" aca="1" ref="J66" ca="1">IFERROR(_xlfn.IFS(OR(AL66&lt;&gt;"",AP66&lt;&gt;""),"STCOアサイン済",OR(AN66&lt;&gt;"",AO66&lt;&gt;""),"CHAT中"),"")</f>
        <v/>
      </c>
      <c r="K66" s="33"/>
      <c r="L66" s="33"/>
      <c r="M66" s="33"/>
      <c r="N66" s="33"/>
      <c r="O66" s="33"/>
      <c r="AK66" s="33">
        <f t="shared" si="1"/>
        <v>0</v>
      </c>
      <c r="AL66" s="33" t="e">
        <f t="shared" ca="1" si="2"/>
        <v>#REF!</v>
      </c>
      <c r="AM66" s="33" t="str">
        <f t="shared" si="3"/>
        <v/>
      </c>
      <c r="AN66" s="33" t="e">
        <f t="shared" ca="1" si="4"/>
        <v>#REF!</v>
      </c>
      <c r="AO66" s="174" t="e">
        <f t="shared" ca="1" si="5"/>
        <v>#REF!</v>
      </c>
      <c r="AP66" s="174" t="e">
        <f t="shared" ca="1" si="6"/>
        <v>#REF!</v>
      </c>
    </row>
    <row r="67" spans="1:42">
      <c r="A67" s="33" t="str">
        <f t="shared" si="0"/>
        <v/>
      </c>
      <c r="F67" s="38"/>
      <c r="G67" s="38"/>
      <c r="I67" s="33"/>
      <c r="J67" s="173" t="str" cm="1">
        <f t="array" aca="1" ref="J67" ca="1">IFERROR(_xlfn.IFS(OR(AL67&lt;&gt;"",AP67&lt;&gt;""),"STCOアサイン済",OR(AN67&lt;&gt;"",AO67&lt;&gt;""),"CHAT中"),"")</f>
        <v/>
      </c>
      <c r="K67" s="33"/>
      <c r="L67" s="33"/>
      <c r="M67" s="33"/>
      <c r="N67" s="33"/>
      <c r="O67" s="33"/>
      <c r="AK67" s="33">
        <f t="shared" si="1"/>
        <v>0</v>
      </c>
      <c r="AL67" s="33" t="e">
        <f t="shared" ca="1" si="2"/>
        <v>#REF!</v>
      </c>
      <c r="AM67" s="33" t="str">
        <f t="shared" si="3"/>
        <v/>
      </c>
      <c r="AN67" s="33" t="e">
        <f t="shared" ca="1" si="4"/>
        <v>#REF!</v>
      </c>
      <c r="AO67" s="174" t="e">
        <f t="shared" ca="1" si="5"/>
        <v>#REF!</v>
      </c>
      <c r="AP67" s="174" t="e">
        <f t="shared" ca="1" si="6"/>
        <v>#REF!</v>
      </c>
    </row>
    <row r="68" spans="1:42">
      <c r="A68" s="33" t="str">
        <f t="shared" si="0"/>
        <v/>
      </c>
      <c r="F68" s="38"/>
      <c r="G68" s="38"/>
      <c r="I68" s="33"/>
      <c r="J68" s="173" t="str" cm="1">
        <f t="array" aca="1" ref="J68" ca="1">IFERROR(_xlfn.IFS(OR(AL68&lt;&gt;"",AP68&lt;&gt;""),"STCOアサイン済",OR(AN68&lt;&gt;"",AO68&lt;&gt;""),"CHAT中"),"")</f>
        <v/>
      </c>
      <c r="K68" s="33"/>
      <c r="L68" s="33"/>
      <c r="M68" s="33"/>
      <c r="N68" s="33"/>
      <c r="O68" s="33"/>
      <c r="AK68" s="33">
        <f t="shared" si="1"/>
        <v>0</v>
      </c>
      <c r="AL68" s="33" t="e">
        <f t="shared" ca="1" si="2"/>
        <v>#REF!</v>
      </c>
      <c r="AM68" s="33" t="str">
        <f t="shared" si="3"/>
        <v/>
      </c>
      <c r="AN68" s="33" t="e">
        <f t="shared" ca="1" si="4"/>
        <v>#REF!</v>
      </c>
      <c r="AO68" s="174" t="e">
        <f t="shared" ca="1" si="5"/>
        <v>#REF!</v>
      </c>
      <c r="AP68" s="174" t="e">
        <f t="shared" ca="1" si="6"/>
        <v>#REF!</v>
      </c>
    </row>
    <row r="69" spans="1:42">
      <c r="A69" s="33" t="str">
        <f t="shared" si="0"/>
        <v/>
      </c>
      <c r="F69" s="38"/>
      <c r="G69" s="38"/>
      <c r="I69" s="33"/>
      <c r="J69" s="173" t="str" cm="1">
        <f t="array" aca="1" ref="J69" ca="1">IFERROR(_xlfn.IFS(OR(AL69&lt;&gt;"",AP69&lt;&gt;""),"STCOアサイン済",OR(AN69&lt;&gt;"",AO69&lt;&gt;""),"CHAT中"),"")</f>
        <v/>
      </c>
      <c r="K69" s="33"/>
      <c r="L69" s="33"/>
      <c r="M69" s="33"/>
      <c r="N69" s="33"/>
      <c r="O69" s="33"/>
      <c r="AK69" s="33">
        <f t="shared" si="1"/>
        <v>0</v>
      </c>
      <c r="AL69" s="33" t="e">
        <f t="shared" ca="1" si="2"/>
        <v>#REF!</v>
      </c>
      <c r="AM69" s="33" t="str">
        <f t="shared" si="3"/>
        <v/>
      </c>
      <c r="AN69" s="33" t="e">
        <f t="shared" ca="1" si="4"/>
        <v>#REF!</v>
      </c>
      <c r="AO69" s="174" t="e">
        <f t="shared" ca="1" si="5"/>
        <v>#REF!</v>
      </c>
      <c r="AP69" s="174" t="e">
        <f t="shared" ca="1" si="6"/>
        <v>#REF!</v>
      </c>
    </row>
    <row r="70" spans="1:42">
      <c r="A70" s="33" t="str">
        <f t="shared" si="0"/>
        <v/>
      </c>
      <c r="F70" s="38"/>
      <c r="G70" s="38"/>
      <c r="I70" s="33"/>
      <c r="J70" s="173" t="str" cm="1">
        <f t="array" aca="1" ref="J70" ca="1">IFERROR(_xlfn.IFS(OR(AL70&lt;&gt;"",AP70&lt;&gt;""),"STCOアサイン済",OR(AN70&lt;&gt;"",AO70&lt;&gt;""),"CHAT中"),"")</f>
        <v/>
      </c>
      <c r="K70" s="33"/>
      <c r="L70" s="33"/>
      <c r="M70" s="33"/>
      <c r="N70" s="33"/>
      <c r="O70" s="33"/>
      <c r="AK70" s="33">
        <f t="shared" si="1"/>
        <v>0</v>
      </c>
      <c r="AL70" s="33" t="e">
        <f t="shared" ca="1" si="2"/>
        <v>#REF!</v>
      </c>
      <c r="AM70" s="33" t="str">
        <f t="shared" si="3"/>
        <v/>
      </c>
      <c r="AN70" s="33" t="e">
        <f t="shared" ca="1" si="4"/>
        <v>#REF!</v>
      </c>
      <c r="AO70" s="174" t="e">
        <f t="shared" ca="1" si="5"/>
        <v>#REF!</v>
      </c>
      <c r="AP70" s="174" t="e">
        <f t="shared" ca="1" si="6"/>
        <v>#REF!</v>
      </c>
    </row>
    <row r="71" spans="1:42">
      <c r="A71" s="33" t="str">
        <f t="shared" si="0"/>
        <v/>
      </c>
      <c r="F71" s="38"/>
      <c r="G71" s="38"/>
      <c r="I71" s="33"/>
      <c r="J71" s="173" t="str" cm="1">
        <f t="array" aca="1" ref="J71" ca="1">IFERROR(_xlfn.IFS(OR(AL71&lt;&gt;"",AP71&lt;&gt;""),"STCOアサイン済",OR(AN71&lt;&gt;"",AO71&lt;&gt;""),"CHAT中"),"")</f>
        <v/>
      </c>
      <c r="K71" s="33"/>
      <c r="L71" s="33"/>
      <c r="M71" s="33"/>
      <c r="N71" s="33"/>
      <c r="O71" s="33"/>
      <c r="AK71" s="33">
        <f t="shared" si="1"/>
        <v>0</v>
      </c>
      <c r="AL71" s="33" t="e">
        <f t="shared" ca="1" si="2"/>
        <v>#REF!</v>
      </c>
      <c r="AM71" s="33" t="str">
        <f t="shared" si="3"/>
        <v/>
      </c>
      <c r="AN71" s="33" t="e">
        <f t="shared" ca="1" si="4"/>
        <v>#REF!</v>
      </c>
      <c r="AO71" s="174" t="e">
        <f t="shared" ca="1" si="5"/>
        <v>#REF!</v>
      </c>
      <c r="AP71" s="174" t="e">
        <f t="shared" ca="1" si="6"/>
        <v>#REF!</v>
      </c>
    </row>
    <row r="72" spans="1:42">
      <c r="A72" s="33" t="str">
        <f t="shared" ref="A72:A135" si="7">IF(ISBLANK($I72), "", _xlfn.IFS($I72&gt;10, "DS", $I72&lt;=10, "未定"))</f>
        <v/>
      </c>
      <c r="F72" s="38"/>
      <c r="G72" s="38"/>
      <c r="I72" s="33"/>
      <c r="J72" s="173" t="str" cm="1">
        <f t="array" aca="1" ref="J72" ca="1">IFERROR(_xlfn.IFS(OR(AL72&lt;&gt;"",AP72&lt;&gt;""),"STCOアサイン済",OR(AN72&lt;&gt;"",AO72&lt;&gt;""),"CHAT中"),"")</f>
        <v/>
      </c>
      <c r="K72" s="33"/>
      <c r="L72" s="33"/>
      <c r="M72" s="33"/>
      <c r="N72" s="33"/>
      <c r="O72" s="33"/>
      <c r="AK72" s="33">
        <f t="shared" si="1"/>
        <v>0</v>
      </c>
      <c r="AL72" s="33" t="e">
        <f t="shared" ca="1" si="2"/>
        <v>#REF!</v>
      </c>
      <c r="AM72" s="33" t="str">
        <f t="shared" si="3"/>
        <v/>
      </c>
      <c r="AN72" s="33" t="e">
        <f t="shared" ca="1" si="4"/>
        <v>#REF!</v>
      </c>
      <c r="AO72" s="174" t="e">
        <f t="shared" ca="1" si="5"/>
        <v>#REF!</v>
      </c>
      <c r="AP72" s="174" t="e">
        <f t="shared" ca="1" si="6"/>
        <v>#REF!</v>
      </c>
    </row>
    <row r="73" spans="1:42">
      <c r="A73" s="33" t="str">
        <f t="shared" si="7"/>
        <v/>
      </c>
      <c r="F73" s="38"/>
      <c r="G73" s="38"/>
      <c r="I73" s="33"/>
      <c r="J73" s="173" t="str" cm="1">
        <f t="array" aca="1" ref="J73" ca="1">IFERROR(_xlfn.IFS(OR(AL73&lt;&gt;"",AP73&lt;&gt;""),"STCOアサイン済",OR(AN73&lt;&gt;"",AO73&lt;&gt;""),"CHAT中"),"")</f>
        <v/>
      </c>
      <c r="K73" s="33"/>
      <c r="L73" s="33"/>
      <c r="M73" s="33"/>
      <c r="N73" s="33"/>
      <c r="O73" s="33"/>
      <c r="AK73" s="33">
        <f t="shared" ref="AK73:AK136" si="8">C73</f>
        <v>0</v>
      </c>
      <c r="AL73" s="33" t="e">
        <f t="shared" ref="AL73:AL136" ca="1" si="9">IF(SUMIF(INDIRECT($AL$7&amp;"!$AM$5:$AM$800"),C73&amp;$AL$6,INDIRECT($AL$7&amp;"!$AN$5:$AN$800"))&lt;=0,"")</f>
        <v>#REF!</v>
      </c>
      <c r="AM73" s="33" t="str">
        <f t="shared" ref="AM73:AM136" si="10">IF(A73="","",A73)</f>
        <v/>
      </c>
      <c r="AN73" s="33" t="e">
        <f t="shared" ref="AN73:AN136" ca="1" si="11">IF(SUMIF(INDIRECT($AL$7&amp;"!$AM$5:$AM$800"),C73&amp;$AL$6,INDIRECT($AL$7&amp;"!$AO$5:$AO$800"))=0,"")</f>
        <v>#REF!</v>
      </c>
      <c r="AO73" s="174" t="e">
        <f t="shared" ref="AO73:AO136" ca="1" si="12">IF(SUMIF(INDIRECT($AL$7&amp;"!$AR$5:$AR$800"),C73&amp;$AL$6,INDIRECT($AL$7&amp;"!$AO$5:$AO$800"))=0,"")</f>
        <v>#REF!</v>
      </c>
      <c r="AP73" s="174" t="e">
        <f t="shared" ref="AP73:AP136" ca="1" si="13">IF(SUMIF(INDIRECT($AL$7&amp;"!$AR$5:$AR$800"),C73&amp;$AL$6,INDIRECT($AL$7&amp;"!$AN$5:$AN$800"))&lt;=0,"")</f>
        <v>#REF!</v>
      </c>
    </row>
    <row r="74" spans="1:42">
      <c r="A74" s="33" t="str">
        <f t="shared" si="7"/>
        <v/>
      </c>
      <c r="F74" s="38"/>
      <c r="G74" s="38"/>
      <c r="I74" s="33"/>
      <c r="J74" s="173" t="str" cm="1">
        <f t="array" aca="1" ref="J74" ca="1">IFERROR(_xlfn.IFS(OR(AL74&lt;&gt;"",AP74&lt;&gt;""),"STCOアサイン済",OR(AN74&lt;&gt;"",AO74&lt;&gt;""),"CHAT中"),"")</f>
        <v/>
      </c>
      <c r="K74" s="33"/>
      <c r="L74" s="33"/>
      <c r="M74" s="33"/>
      <c r="N74" s="33"/>
      <c r="O74" s="33"/>
      <c r="AK74" s="33">
        <f t="shared" si="8"/>
        <v>0</v>
      </c>
      <c r="AL74" s="33" t="e">
        <f t="shared" ca="1" si="9"/>
        <v>#REF!</v>
      </c>
      <c r="AM74" s="33" t="str">
        <f t="shared" si="10"/>
        <v/>
      </c>
      <c r="AN74" s="33" t="e">
        <f t="shared" ca="1" si="11"/>
        <v>#REF!</v>
      </c>
      <c r="AO74" s="174" t="e">
        <f t="shared" ca="1" si="12"/>
        <v>#REF!</v>
      </c>
      <c r="AP74" s="174" t="e">
        <f t="shared" ca="1" si="13"/>
        <v>#REF!</v>
      </c>
    </row>
    <row r="75" spans="1:42">
      <c r="A75" s="33" t="str">
        <f t="shared" si="7"/>
        <v/>
      </c>
      <c r="F75" s="38"/>
      <c r="G75" s="38"/>
      <c r="I75" s="33"/>
      <c r="J75" s="173" t="str" cm="1">
        <f t="array" aca="1" ref="J75" ca="1">IFERROR(_xlfn.IFS(OR(AL75&lt;&gt;"",AP75&lt;&gt;""),"STCOアサイン済",OR(AN75&lt;&gt;"",AO75&lt;&gt;""),"CHAT中"),"")</f>
        <v/>
      </c>
      <c r="K75" s="33"/>
      <c r="L75" s="33"/>
      <c r="M75" s="33"/>
      <c r="N75" s="33"/>
      <c r="O75" s="33"/>
      <c r="AK75" s="33">
        <f t="shared" si="8"/>
        <v>0</v>
      </c>
      <c r="AL75" s="33" t="e">
        <f t="shared" ca="1" si="9"/>
        <v>#REF!</v>
      </c>
      <c r="AM75" s="33" t="str">
        <f t="shared" si="10"/>
        <v/>
      </c>
      <c r="AN75" s="33" t="e">
        <f t="shared" ca="1" si="11"/>
        <v>#REF!</v>
      </c>
      <c r="AO75" s="174" t="e">
        <f t="shared" ca="1" si="12"/>
        <v>#REF!</v>
      </c>
      <c r="AP75" s="174" t="e">
        <f t="shared" ca="1" si="13"/>
        <v>#REF!</v>
      </c>
    </row>
    <row r="76" spans="1:42">
      <c r="A76" s="33" t="str">
        <f t="shared" si="7"/>
        <v/>
      </c>
      <c r="F76" s="38"/>
      <c r="G76" s="38"/>
      <c r="I76" s="33"/>
      <c r="J76" s="173" t="str" cm="1">
        <f t="array" aca="1" ref="J76" ca="1">IFERROR(_xlfn.IFS(OR(AL76&lt;&gt;"",AP76&lt;&gt;""),"STCOアサイン済",OR(AN76&lt;&gt;"",AO76&lt;&gt;""),"CHAT中"),"")</f>
        <v/>
      </c>
      <c r="K76" s="33"/>
      <c r="L76" s="33"/>
      <c r="M76" s="33"/>
      <c r="N76" s="33"/>
      <c r="O76" s="33"/>
      <c r="AK76" s="33">
        <f t="shared" si="8"/>
        <v>0</v>
      </c>
      <c r="AL76" s="33" t="e">
        <f t="shared" ca="1" si="9"/>
        <v>#REF!</v>
      </c>
      <c r="AM76" s="33" t="str">
        <f t="shared" si="10"/>
        <v/>
      </c>
      <c r="AN76" s="33" t="e">
        <f t="shared" ca="1" si="11"/>
        <v>#REF!</v>
      </c>
      <c r="AO76" s="174" t="e">
        <f t="shared" ca="1" si="12"/>
        <v>#REF!</v>
      </c>
      <c r="AP76" s="174" t="e">
        <f t="shared" ca="1" si="13"/>
        <v>#REF!</v>
      </c>
    </row>
    <row r="77" spans="1:42">
      <c r="A77" s="33" t="str">
        <f t="shared" si="7"/>
        <v/>
      </c>
      <c r="F77" s="38"/>
      <c r="G77" s="38"/>
      <c r="I77" s="33"/>
      <c r="J77" s="173" t="str" cm="1">
        <f t="array" aca="1" ref="J77" ca="1">IFERROR(_xlfn.IFS(OR(AL77&lt;&gt;"",AP77&lt;&gt;""),"STCOアサイン済",OR(AN77&lt;&gt;"",AO77&lt;&gt;""),"CHAT中"),"")</f>
        <v/>
      </c>
      <c r="K77" s="33"/>
      <c r="L77" s="33"/>
      <c r="M77" s="33"/>
      <c r="N77" s="33"/>
      <c r="O77" s="33"/>
      <c r="AK77" s="33">
        <f t="shared" si="8"/>
        <v>0</v>
      </c>
      <c r="AL77" s="33" t="e">
        <f t="shared" ca="1" si="9"/>
        <v>#REF!</v>
      </c>
      <c r="AM77" s="33" t="str">
        <f t="shared" si="10"/>
        <v/>
      </c>
      <c r="AN77" s="33" t="e">
        <f t="shared" ca="1" si="11"/>
        <v>#REF!</v>
      </c>
      <c r="AO77" s="174" t="e">
        <f t="shared" ca="1" si="12"/>
        <v>#REF!</v>
      </c>
      <c r="AP77" s="174" t="e">
        <f t="shared" ca="1" si="13"/>
        <v>#REF!</v>
      </c>
    </row>
    <row r="78" spans="1:42">
      <c r="A78" s="33" t="str">
        <f t="shared" si="7"/>
        <v/>
      </c>
      <c r="F78" s="38"/>
      <c r="G78" s="38"/>
      <c r="I78" s="33"/>
      <c r="J78" s="173" t="str" cm="1">
        <f t="array" aca="1" ref="J78" ca="1">IFERROR(_xlfn.IFS(OR(AL78&lt;&gt;"",AP78&lt;&gt;""),"STCOアサイン済",OR(AN78&lt;&gt;"",AO78&lt;&gt;""),"CHAT中"),"")</f>
        <v/>
      </c>
      <c r="K78" s="33"/>
      <c r="L78" s="33"/>
      <c r="M78" s="33"/>
      <c r="N78" s="33"/>
      <c r="O78" s="33"/>
      <c r="AK78" s="33">
        <f t="shared" si="8"/>
        <v>0</v>
      </c>
      <c r="AL78" s="33" t="e">
        <f t="shared" ca="1" si="9"/>
        <v>#REF!</v>
      </c>
      <c r="AM78" s="33" t="str">
        <f t="shared" si="10"/>
        <v/>
      </c>
      <c r="AN78" s="33" t="e">
        <f t="shared" ca="1" si="11"/>
        <v>#REF!</v>
      </c>
      <c r="AO78" s="174" t="e">
        <f t="shared" ca="1" si="12"/>
        <v>#REF!</v>
      </c>
      <c r="AP78" s="174" t="e">
        <f t="shared" ca="1" si="13"/>
        <v>#REF!</v>
      </c>
    </row>
    <row r="79" spans="1:42">
      <c r="A79" s="33" t="str">
        <f t="shared" si="7"/>
        <v/>
      </c>
      <c r="F79" s="38"/>
      <c r="G79" s="38"/>
      <c r="I79" s="33"/>
      <c r="J79" s="173" t="str" cm="1">
        <f t="array" aca="1" ref="J79" ca="1">IFERROR(_xlfn.IFS(OR(AL79&lt;&gt;"",AP79&lt;&gt;""),"STCOアサイン済",OR(AN79&lt;&gt;"",AO79&lt;&gt;""),"CHAT中"),"")</f>
        <v/>
      </c>
      <c r="K79" s="33"/>
      <c r="L79" s="33"/>
      <c r="M79" s="33"/>
      <c r="N79" s="33"/>
      <c r="O79" s="33"/>
      <c r="AK79" s="33">
        <f t="shared" si="8"/>
        <v>0</v>
      </c>
      <c r="AL79" s="33" t="e">
        <f t="shared" ca="1" si="9"/>
        <v>#REF!</v>
      </c>
      <c r="AM79" s="33" t="str">
        <f t="shared" si="10"/>
        <v/>
      </c>
      <c r="AN79" s="33" t="e">
        <f t="shared" ca="1" si="11"/>
        <v>#REF!</v>
      </c>
      <c r="AO79" s="174" t="e">
        <f t="shared" ca="1" si="12"/>
        <v>#REF!</v>
      </c>
      <c r="AP79" s="174" t="e">
        <f t="shared" ca="1" si="13"/>
        <v>#REF!</v>
      </c>
    </row>
    <row r="80" spans="1:42">
      <c r="A80" s="33" t="str">
        <f t="shared" si="7"/>
        <v/>
      </c>
      <c r="F80" s="38"/>
      <c r="G80" s="38"/>
      <c r="I80" s="33"/>
      <c r="J80" s="173" t="str" cm="1">
        <f t="array" aca="1" ref="J80" ca="1">IFERROR(_xlfn.IFS(OR(AL80&lt;&gt;"",AP80&lt;&gt;""),"STCOアサイン済",OR(AN80&lt;&gt;"",AO80&lt;&gt;""),"CHAT中"),"")</f>
        <v/>
      </c>
      <c r="K80" s="33"/>
      <c r="L80" s="33"/>
      <c r="M80" s="33"/>
      <c r="N80" s="33"/>
      <c r="O80" s="33"/>
      <c r="AK80" s="33">
        <f t="shared" si="8"/>
        <v>0</v>
      </c>
      <c r="AL80" s="33" t="e">
        <f t="shared" ca="1" si="9"/>
        <v>#REF!</v>
      </c>
      <c r="AM80" s="33" t="str">
        <f t="shared" si="10"/>
        <v/>
      </c>
      <c r="AN80" s="33" t="e">
        <f t="shared" ca="1" si="11"/>
        <v>#REF!</v>
      </c>
      <c r="AO80" s="174" t="e">
        <f t="shared" ca="1" si="12"/>
        <v>#REF!</v>
      </c>
      <c r="AP80" s="174" t="e">
        <f t="shared" ca="1" si="13"/>
        <v>#REF!</v>
      </c>
    </row>
    <row r="81" spans="1:42">
      <c r="A81" s="33" t="str">
        <f t="shared" si="7"/>
        <v/>
      </c>
      <c r="F81" s="38"/>
      <c r="G81" s="38"/>
      <c r="I81" s="33"/>
      <c r="J81" s="173" t="str" cm="1">
        <f t="array" aca="1" ref="J81" ca="1">IFERROR(_xlfn.IFS(OR(AL81&lt;&gt;"",AP81&lt;&gt;""),"STCOアサイン済",OR(AN81&lt;&gt;"",AO81&lt;&gt;""),"CHAT中"),"")</f>
        <v/>
      </c>
      <c r="K81" s="33"/>
      <c r="L81" s="33"/>
      <c r="M81" s="33"/>
      <c r="N81" s="33"/>
      <c r="O81" s="33"/>
      <c r="AK81" s="33">
        <f t="shared" si="8"/>
        <v>0</v>
      </c>
      <c r="AL81" s="33" t="e">
        <f t="shared" ca="1" si="9"/>
        <v>#REF!</v>
      </c>
      <c r="AM81" s="33" t="str">
        <f t="shared" si="10"/>
        <v/>
      </c>
      <c r="AN81" s="33" t="e">
        <f t="shared" ca="1" si="11"/>
        <v>#REF!</v>
      </c>
      <c r="AO81" s="174" t="e">
        <f t="shared" ca="1" si="12"/>
        <v>#REF!</v>
      </c>
      <c r="AP81" s="174" t="e">
        <f t="shared" ca="1" si="13"/>
        <v>#REF!</v>
      </c>
    </row>
    <row r="82" spans="1:42">
      <c r="A82" s="33" t="str">
        <f t="shared" si="7"/>
        <v/>
      </c>
      <c r="F82" s="38"/>
      <c r="G82" s="38"/>
      <c r="I82" s="33"/>
      <c r="J82" s="173" t="str" cm="1">
        <f t="array" aca="1" ref="J82" ca="1">IFERROR(_xlfn.IFS(OR(AL82&lt;&gt;"",AP82&lt;&gt;""),"STCOアサイン済",OR(AN82&lt;&gt;"",AO82&lt;&gt;""),"CHAT中"),"")</f>
        <v/>
      </c>
      <c r="K82" s="33"/>
      <c r="L82" s="33"/>
      <c r="M82" s="33"/>
      <c r="N82" s="33"/>
      <c r="O82" s="33"/>
      <c r="AK82" s="33">
        <f t="shared" si="8"/>
        <v>0</v>
      </c>
      <c r="AL82" s="33" t="e">
        <f t="shared" ca="1" si="9"/>
        <v>#REF!</v>
      </c>
      <c r="AM82" s="33" t="str">
        <f t="shared" si="10"/>
        <v/>
      </c>
      <c r="AN82" s="33" t="e">
        <f t="shared" ca="1" si="11"/>
        <v>#REF!</v>
      </c>
      <c r="AO82" s="174" t="e">
        <f t="shared" ca="1" si="12"/>
        <v>#REF!</v>
      </c>
      <c r="AP82" s="174" t="e">
        <f t="shared" ca="1" si="13"/>
        <v>#REF!</v>
      </c>
    </row>
    <row r="83" spans="1:42">
      <c r="A83" s="33" t="str">
        <f t="shared" si="7"/>
        <v/>
      </c>
      <c r="F83" s="38"/>
      <c r="G83" s="38"/>
      <c r="I83" s="33"/>
      <c r="J83" s="173" t="str" cm="1">
        <f t="array" aca="1" ref="J83" ca="1">IFERROR(_xlfn.IFS(OR(AL83&lt;&gt;"",AP83&lt;&gt;""),"STCOアサイン済",OR(AN83&lt;&gt;"",AO83&lt;&gt;""),"CHAT中"),"")</f>
        <v/>
      </c>
      <c r="K83" s="33"/>
      <c r="L83" s="33"/>
      <c r="M83" s="33"/>
      <c r="N83" s="33"/>
      <c r="O83" s="33"/>
      <c r="AK83" s="33">
        <f t="shared" si="8"/>
        <v>0</v>
      </c>
      <c r="AL83" s="33" t="e">
        <f t="shared" ca="1" si="9"/>
        <v>#REF!</v>
      </c>
      <c r="AM83" s="33" t="str">
        <f t="shared" si="10"/>
        <v/>
      </c>
      <c r="AN83" s="33" t="e">
        <f t="shared" ca="1" si="11"/>
        <v>#REF!</v>
      </c>
      <c r="AO83" s="174" t="e">
        <f t="shared" ca="1" si="12"/>
        <v>#REF!</v>
      </c>
      <c r="AP83" s="174" t="e">
        <f t="shared" ca="1" si="13"/>
        <v>#REF!</v>
      </c>
    </row>
    <row r="84" spans="1:42">
      <c r="A84" s="33" t="str">
        <f t="shared" si="7"/>
        <v/>
      </c>
      <c r="F84" s="38"/>
      <c r="G84" s="38"/>
      <c r="I84" s="33"/>
      <c r="J84" s="173" t="str" cm="1">
        <f t="array" aca="1" ref="J84" ca="1">IFERROR(_xlfn.IFS(OR(AL84&lt;&gt;"",AP84&lt;&gt;""),"STCOアサイン済",OR(AN84&lt;&gt;"",AO84&lt;&gt;""),"CHAT中"),"")</f>
        <v/>
      </c>
      <c r="K84" s="33"/>
      <c r="L84" s="33"/>
      <c r="M84" s="33"/>
      <c r="N84" s="33"/>
      <c r="O84" s="33"/>
      <c r="AK84" s="33">
        <f t="shared" si="8"/>
        <v>0</v>
      </c>
      <c r="AL84" s="33" t="e">
        <f t="shared" ca="1" si="9"/>
        <v>#REF!</v>
      </c>
      <c r="AM84" s="33" t="str">
        <f t="shared" si="10"/>
        <v/>
      </c>
      <c r="AN84" s="33" t="e">
        <f t="shared" ca="1" si="11"/>
        <v>#REF!</v>
      </c>
      <c r="AO84" s="174" t="e">
        <f t="shared" ca="1" si="12"/>
        <v>#REF!</v>
      </c>
      <c r="AP84" s="174" t="e">
        <f t="shared" ca="1" si="13"/>
        <v>#REF!</v>
      </c>
    </row>
    <row r="85" spans="1:42">
      <c r="A85" s="33" t="str">
        <f t="shared" si="7"/>
        <v/>
      </c>
      <c r="F85" s="38"/>
      <c r="G85" s="38"/>
      <c r="I85" s="33"/>
      <c r="J85" s="173" t="str" cm="1">
        <f t="array" aca="1" ref="J85" ca="1">IFERROR(_xlfn.IFS(OR(AL85&lt;&gt;"",AP85&lt;&gt;""),"STCOアサイン済",OR(AN85&lt;&gt;"",AO85&lt;&gt;""),"CHAT中"),"")</f>
        <v/>
      </c>
      <c r="K85" s="33"/>
      <c r="L85" s="33"/>
      <c r="M85" s="33"/>
      <c r="N85" s="33"/>
      <c r="O85" s="33"/>
      <c r="AK85" s="33">
        <f t="shared" si="8"/>
        <v>0</v>
      </c>
      <c r="AL85" s="33" t="e">
        <f t="shared" ca="1" si="9"/>
        <v>#REF!</v>
      </c>
      <c r="AM85" s="33" t="str">
        <f t="shared" si="10"/>
        <v/>
      </c>
      <c r="AN85" s="33" t="e">
        <f t="shared" ca="1" si="11"/>
        <v>#REF!</v>
      </c>
      <c r="AO85" s="174" t="e">
        <f t="shared" ca="1" si="12"/>
        <v>#REF!</v>
      </c>
      <c r="AP85" s="174" t="e">
        <f t="shared" ca="1" si="13"/>
        <v>#REF!</v>
      </c>
    </row>
    <row r="86" spans="1:42">
      <c r="A86" s="33" t="str">
        <f t="shared" si="7"/>
        <v/>
      </c>
      <c r="F86" s="38"/>
      <c r="G86" s="38"/>
      <c r="I86" s="33"/>
      <c r="J86" s="173" t="str" cm="1">
        <f t="array" aca="1" ref="J86" ca="1">IFERROR(_xlfn.IFS(OR(AL86&lt;&gt;"",AP86&lt;&gt;""),"STCOアサイン済",OR(AN86&lt;&gt;"",AO86&lt;&gt;""),"CHAT中"),"")</f>
        <v/>
      </c>
      <c r="K86" s="33"/>
      <c r="L86" s="33"/>
      <c r="M86" s="33"/>
      <c r="N86" s="33"/>
      <c r="O86" s="33"/>
      <c r="AK86" s="33">
        <f t="shared" si="8"/>
        <v>0</v>
      </c>
      <c r="AL86" s="33" t="e">
        <f t="shared" ca="1" si="9"/>
        <v>#REF!</v>
      </c>
      <c r="AM86" s="33" t="str">
        <f t="shared" si="10"/>
        <v/>
      </c>
      <c r="AN86" s="33" t="e">
        <f t="shared" ca="1" si="11"/>
        <v>#REF!</v>
      </c>
      <c r="AO86" s="174" t="e">
        <f t="shared" ca="1" si="12"/>
        <v>#REF!</v>
      </c>
      <c r="AP86" s="174" t="e">
        <f t="shared" ca="1" si="13"/>
        <v>#REF!</v>
      </c>
    </row>
    <row r="87" spans="1:42">
      <c r="A87" s="33" t="str">
        <f t="shared" si="7"/>
        <v/>
      </c>
      <c r="F87" s="38"/>
      <c r="G87" s="38"/>
      <c r="I87" s="33"/>
      <c r="J87" s="173" t="str" cm="1">
        <f t="array" aca="1" ref="J87" ca="1">IFERROR(_xlfn.IFS(OR(AL87&lt;&gt;"",AP87&lt;&gt;""),"STCOアサイン済",OR(AN87&lt;&gt;"",AO87&lt;&gt;""),"CHAT中"),"")</f>
        <v/>
      </c>
      <c r="K87" s="33"/>
      <c r="L87" s="33"/>
      <c r="M87" s="33"/>
      <c r="N87" s="33"/>
      <c r="O87" s="33"/>
      <c r="AK87" s="33">
        <f t="shared" si="8"/>
        <v>0</v>
      </c>
      <c r="AL87" s="33" t="e">
        <f t="shared" ca="1" si="9"/>
        <v>#REF!</v>
      </c>
      <c r="AM87" s="33" t="str">
        <f t="shared" si="10"/>
        <v/>
      </c>
      <c r="AN87" s="33" t="e">
        <f t="shared" ca="1" si="11"/>
        <v>#REF!</v>
      </c>
      <c r="AO87" s="174" t="e">
        <f t="shared" ca="1" si="12"/>
        <v>#REF!</v>
      </c>
      <c r="AP87" s="174" t="e">
        <f t="shared" ca="1" si="13"/>
        <v>#REF!</v>
      </c>
    </row>
    <row r="88" spans="1:42">
      <c r="A88" s="33" t="str">
        <f t="shared" si="7"/>
        <v/>
      </c>
      <c r="F88" s="38"/>
      <c r="G88" s="38"/>
      <c r="I88" s="33"/>
      <c r="J88" s="173" t="str" cm="1">
        <f t="array" aca="1" ref="J88" ca="1">IFERROR(_xlfn.IFS(OR(AL88&lt;&gt;"",AP88&lt;&gt;""),"STCOアサイン済",OR(AN88&lt;&gt;"",AO88&lt;&gt;""),"CHAT中"),"")</f>
        <v/>
      </c>
      <c r="K88" s="33"/>
      <c r="L88" s="33"/>
      <c r="M88" s="33"/>
      <c r="N88" s="33"/>
      <c r="O88" s="33"/>
      <c r="AK88" s="33">
        <f t="shared" si="8"/>
        <v>0</v>
      </c>
      <c r="AL88" s="33" t="e">
        <f t="shared" ca="1" si="9"/>
        <v>#REF!</v>
      </c>
      <c r="AM88" s="33" t="str">
        <f t="shared" si="10"/>
        <v/>
      </c>
      <c r="AN88" s="33" t="e">
        <f t="shared" ca="1" si="11"/>
        <v>#REF!</v>
      </c>
      <c r="AO88" s="174" t="e">
        <f t="shared" ca="1" si="12"/>
        <v>#REF!</v>
      </c>
      <c r="AP88" s="174" t="e">
        <f t="shared" ca="1" si="13"/>
        <v>#REF!</v>
      </c>
    </row>
    <row r="89" spans="1:42">
      <c r="A89" s="33" t="str">
        <f t="shared" si="7"/>
        <v/>
      </c>
      <c r="F89" s="38"/>
      <c r="G89" s="38"/>
      <c r="I89" s="33"/>
      <c r="J89" s="173" t="str" cm="1">
        <f t="array" aca="1" ref="J89" ca="1">IFERROR(_xlfn.IFS(OR(AL89&lt;&gt;"",AP89&lt;&gt;""),"STCOアサイン済",OR(AN89&lt;&gt;"",AO89&lt;&gt;""),"CHAT中"),"")</f>
        <v/>
      </c>
      <c r="K89" s="33"/>
      <c r="L89" s="33"/>
      <c r="M89" s="33"/>
      <c r="N89" s="33"/>
      <c r="O89" s="33"/>
      <c r="AK89" s="33">
        <f t="shared" si="8"/>
        <v>0</v>
      </c>
      <c r="AL89" s="33" t="e">
        <f t="shared" ca="1" si="9"/>
        <v>#REF!</v>
      </c>
      <c r="AM89" s="33" t="str">
        <f t="shared" si="10"/>
        <v/>
      </c>
      <c r="AN89" s="33" t="e">
        <f t="shared" ca="1" si="11"/>
        <v>#REF!</v>
      </c>
      <c r="AO89" s="174" t="e">
        <f t="shared" ca="1" si="12"/>
        <v>#REF!</v>
      </c>
      <c r="AP89" s="174" t="e">
        <f t="shared" ca="1" si="13"/>
        <v>#REF!</v>
      </c>
    </row>
    <row r="90" spans="1:42">
      <c r="A90" s="33" t="str">
        <f t="shared" si="7"/>
        <v/>
      </c>
      <c r="F90" s="38"/>
      <c r="G90" s="38"/>
      <c r="I90" s="33"/>
      <c r="J90" s="173" t="str" cm="1">
        <f t="array" aca="1" ref="J90" ca="1">IFERROR(_xlfn.IFS(OR(AL90&lt;&gt;"",AP90&lt;&gt;""),"STCOアサイン済",OR(AN90&lt;&gt;"",AO90&lt;&gt;""),"CHAT中"),"")</f>
        <v/>
      </c>
      <c r="K90" s="33"/>
      <c r="L90" s="33"/>
      <c r="M90" s="33"/>
      <c r="N90" s="33"/>
      <c r="O90" s="33"/>
      <c r="AK90" s="33">
        <f t="shared" si="8"/>
        <v>0</v>
      </c>
      <c r="AL90" s="33" t="e">
        <f t="shared" ca="1" si="9"/>
        <v>#REF!</v>
      </c>
      <c r="AM90" s="33" t="str">
        <f t="shared" si="10"/>
        <v/>
      </c>
      <c r="AN90" s="33" t="e">
        <f t="shared" ca="1" si="11"/>
        <v>#REF!</v>
      </c>
      <c r="AO90" s="174" t="e">
        <f t="shared" ca="1" si="12"/>
        <v>#REF!</v>
      </c>
      <c r="AP90" s="174" t="e">
        <f t="shared" ca="1" si="13"/>
        <v>#REF!</v>
      </c>
    </row>
    <row r="91" spans="1:42">
      <c r="A91" s="33" t="str">
        <f t="shared" si="7"/>
        <v/>
      </c>
      <c r="F91" s="38"/>
      <c r="G91" s="38"/>
      <c r="I91" s="33"/>
      <c r="J91" s="173" t="str" cm="1">
        <f t="array" aca="1" ref="J91" ca="1">IFERROR(_xlfn.IFS(OR(AL91&lt;&gt;"",AP91&lt;&gt;""),"STCOアサイン済",OR(AN91&lt;&gt;"",AO91&lt;&gt;""),"CHAT中"),"")</f>
        <v/>
      </c>
      <c r="K91" s="33"/>
      <c r="L91" s="33"/>
      <c r="M91" s="33"/>
      <c r="N91" s="33"/>
      <c r="O91" s="33"/>
      <c r="AK91" s="33">
        <f t="shared" si="8"/>
        <v>0</v>
      </c>
      <c r="AL91" s="33" t="e">
        <f t="shared" ca="1" si="9"/>
        <v>#REF!</v>
      </c>
      <c r="AM91" s="33" t="str">
        <f t="shared" si="10"/>
        <v/>
      </c>
      <c r="AN91" s="33" t="e">
        <f t="shared" ca="1" si="11"/>
        <v>#REF!</v>
      </c>
      <c r="AO91" s="174" t="e">
        <f t="shared" ca="1" si="12"/>
        <v>#REF!</v>
      </c>
      <c r="AP91" s="174" t="e">
        <f t="shared" ca="1" si="13"/>
        <v>#REF!</v>
      </c>
    </row>
    <row r="92" spans="1:42">
      <c r="A92" s="33" t="str">
        <f t="shared" si="7"/>
        <v/>
      </c>
      <c r="F92" s="38"/>
      <c r="G92" s="38"/>
      <c r="I92" s="33"/>
      <c r="J92" s="173" t="str" cm="1">
        <f t="array" aca="1" ref="J92" ca="1">IFERROR(_xlfn.IFS(OR(AL92&lt;&gt;"",AP92&lt;&gt;""),"STCOアサイン済",OR(AN92&lt;&gt;"",AO92&lt;&gt;""),"CHAT中"),"")</f>
        <v/>
      </c>
      <c r="K92" s="33"/>
      <c r="L92" s="33"/>
      <c r="M92" s="33"/>
      <c r="N92" s="33"/>
      <c r="O92" s="33"/>
      <c r="AK92" s="33">
        <f t="shared" si="8"/>
        <v>0</v>
      </c>
      <c r="AL92" s="33" t="e">
        <f t="shared" ca="1" si="9"/>
        <v>#REF!</v>
      </c>
      <c r="AM92" s="33" t="str">
        <f t="shared" si="10"/>
        <v/>
      </c>
      <c r="AN92" s="33" t="e">
        <f t="shared" ca="1" si="11"/>
        <v>#REF!</v>
      </c>
      <c r="AO92" s="174" t="e">
        <f t="shared" ca="1" si="12"/>
        <v>#REF!</v>
      </c>
      <c r="AP92" s="174" t="e">
        <f t="shared" ca="1" si="13"/>
        <v>#REF!</v>
      </c>
    </row>
    <row r="93" spans="1:42">
      <c r="A93" s="33" t="str">
        <f t="shared" si="7"/>
        <v/>
      </c>
      <c r="F93" s="38"/>
      <c r="G93" s="38"/>
      <c r="I93" s="33"/>
      <c r="J93" s="173" t="str" cm="1">
        <f t="array" aca="1" ref="J93" ca="1">IFERROR(_xlfn.IFS(OR(AL93&lt;&gt;"",AP93&lt;&gt;""),"STCOアサイン済",OR(AN93&lt;&gt;"",AO93&lt;&gt;""),"CHAT中"),"")</f>
        <v/>
      </c>
      <c r="K93" s="33"/>
      <c r="L93" s="33"/>
      <c r="M93" s="33"/>
      <c r="N93" s="33"/>
      <c r="O93" s="33"/>
      <c r="AK93" s="33">
        <f t="shared" si="8"/>
        <v>0</v>
      </c>
      <c r="AL93" s="33" t="e">
        <f t="shared" ca="1" si="9"/>
        <v>#REF!</v>
      </c>
      <c r="AM93" s="33" t="str">
        <f t="shared" si="10"/>
        <v/>
      </c>
      <c r="AN93" s="33" t="e">
        <f t="shared" ca="1" si="11"/>
        <v>#REF!</v>
      </c>
      <c r="AO93" s="174" t="e">
        <f t="shared" ca="1" si="12"/>
        <v>#REF!</v>
      </c>
      <c r="AP93" s="174" t="e">
        <f t="shared" ca="1" si="13"/>
        <v>#REF!</v>
      </c>
    </row>
    <row r="94" spans="1:42">
      <c r="A94" s="33" t="str">
        <f t="shared" si="7"/>
        <v/>
      </c>
      <c r="F94" s="38"/>
      <c r="G94" s="38"/>
      <c r="I94" s="33"/>
      <c r="J94" s="173" t="str" cm="1">
        <f t="array" aca="1" ref="J94" ca="1">IFERROR(_xlfn.IFS(OR(AL94&lt;&gt;"",AP94&lt;&gt;""),"STCOアサイン済",OR(AN94&lt;&gt;"",AO94&lt;&gt;""),"CHAT中"),"")</f>
        <v/>
      </c>
      <c r="K94" s="33"/>
      <c r="L94" s="33"/>
      <c r="M94" s="33"/>
      <c r="N94" s="33"/>
      <c r="O94" s="33"/>
      <c r="AK94" s="33">
        <f t="shared" si="8"/>
        <v>0</v>
      </c>
      <c r="AL94" s="33" t="e">
        <f t="shared" ca="1" si="9"/>
        <v>#REF!</v>
      </c>
      <c r="AM94" s="33" t="str">
        <f t="shared" si="10"/>
        <v/>
      </c>
      <c r="AN94" s="33" t="e">
        <f t="shared" ca="1" si="11"/>
        <v>#REF!</v>
      </c>
      <c r="AO94" s="174" t="e">
        <f t="shared" ca="1" si="12"/>
        <v>#REF!</v>
      </c>
      <c r="AP94" s="174" t="e">
        <f t="shared" ca="1" si="13"/>
        <v>#REF!</v>
      </c>
    </row>
    <row r="95" spans="1:42">
      <c r="A95" s="33" t="str">
        <f t="shared" si="7"/>
        <v/>
      </c>
      <c r="F95" s="38"/>
      <c r="G95" s="38"/>
      <c r="I95" s="33"/>
      <c r="J95" s="173" t="str" cm="1">
        <f t="array" aca="1" ref="J95" ca="1">IFERROR(_xlfn.IFS(OR(AL95&lt;&gt;"",AP95&lt;&gt;""),"STCOアサイン済",OR(AN95&lt;&gt;"",AO95&lt;&gt;""),"CHAT中"),"")</f>
        <v/>
      </c>
      <c r="K95" s="33"/>
      <c r="L95" s="33"/>
      <c r="M95" s="33"/>
      <c r="N95" s="33"/>
      <c r="O95" s="33"/>
      <c r="AK95" s="33">
        <f t="shared" si="8"/>
        <v>0</v>
      </c>
      <c r="AL95" s="33" t="e">
        <f t="shared" ca="1" si="9"/>
        <v>#REF!</v>
      </c>
      <c r="AM95" s="33" t="str">
        <f t="shared" si="10"/>
        <v/>
      </c>
      <c r="AN95" s="33" t="e">
        <f t="shared" ca="1" si="11"/>
        <v>#REF!</v>
      </c>
      <c r="AO95" s="174" t="e">
        <f t="shared" ca="1" si="12"/>
        <v>#REF!</v>
      </c>
      <c r="AP95" s="174" t="e">
        <f t="shared" ca="1" si="13"/>
        <v>#REF!</v>
      </c>
    </row>
    <row r="96" spans="1:42">
      <c r="A96" s="33" t="str">
        <f t="shared" si="7"/>
        <v/>
      </c>
      <c r="F96" s="38"/>
      <c r="G96" s="38"/>
      <c r="I96" s="33"/>
      <c r="J96" s="173" t="str" cm="1">
        <f t="array" aca="1" ref="J96" ca="1">IFERROR(_xlfn.IFS(OR(AL96&lt;&gt;"",AP96&lt;&gt;""),"STCOアサイン済",OR(AN96&lt;&gt;"",AO96&lt;&gt;""),"CHAT中"),"")</f>
        <v/>
      </c>
      <c r="K96" s="33"/>
      <c r="L96" s="33"/>
      <c r="M96" s="33"/>
      <c r="N96" s="33"/>
      <c r="O96" s="33"/>
      <c r="AK96" s="33">
        <f t="shared" si="8"/>
        <v>0</v>
      </c>
      <c r="AL96" s="33" t="e">
        <f t="shared" ca="1" si="9"/>
        <v>#REF!</v>
      </c>
      <c r="AM96" s="33" t="str">
        <f t="shared" si="10"/>
        <v/>
      </c>
      <c r="AN96" s="33" t="e">
        <f t="shared" ca="1" si="11"/>
        <v>#REF!</v>
      </c>
      <c r="AO96" s="174" t="e">
        <f t="shared" ca="1" si="12"/>
        <v>#REF!</v>
      </c>
      <c r="AP96" s="174" t="e">
        <f t="shared" ca="1" si="13"/>
        <v>#REF!</v>
      </c>
    </row>
    <row r="97" spans="1:42">
      <c r="A97" s="33" t="str">
        <f t="shared" si="7"/>
        <v/>
      </c>
      <c r="F97" s="38"/>
      <c r="G97" s="46"/>
      <c r="I97" s="33"/>
      <c r="J97" s="173" t="str" cm="1">
        <f t="array" aca="1" ref="J97" ca="1">IFERROR(_xlfn.IFS(OR(AL97&lt;&gt;"",AP97&lt;&gt;""),"STCOアサイン済",OR(AN97&lt;&gt;"",AO97&lt;&gt;""),"CHAT中"),"")</f>
        <v/>
      </c>
      <c r="K97" s="33"/>
      <c r="L97" s="33"/>
      <c r="M97" s="33"/>
      <c r="N97" s="33"/>
      <c r="O97" s="33"/>
      <c r="AK97" s="33">
        <f t="shared" si="8"/>
        <v>0</v>
      </c>
      <c r="AL97" s="33" t="e">
        <f t="shared" ca="1" si="9"/>
        <v>#REF!</v>
      </c>
      <c r="AM97" s="33" t="str">
        <f t="shared" si="10"/>
        <v/>
      </c>
      <c r="AN97" s="33" t="e">
        <f t="shared" ca="1" si="11"/>
        <v>#REF!</v>
      </c>
      <c r="AO97" s="174" t="e">
        <f t="shared" ca="1" si="12"/>
        <v>#REF!</v>
      </c>
      <c r="AP97" s="174" t="e">
        <f t="shared" ca="1" si="13"/>
        <v>#REF!</v>
      </c>
    </row>
    <row r="98" spans="1:42">
      <c r="A98" s="33" t="str">
        <f t="shared" si="7"/>
        <v/>
      </c>
      <c r="F98" s="38"/>
      <c r="G98" s="46"/>
      <c r="I98" s="33"/>
      <c r="J98" s="173" t="str" cm="1">
        <f t="array" aca="1" ref="J98" ca="1">IFERROR(_xlfn.IFS(OR(AL98&lt;&gt;"",AP98&lt;&gt;""),"STCOアサイン済",OR(AN98&lt;&gt;"",AO98&lt;&gt;""),"CHAT中"),"")</f>
        <v/>
      </c>
      <c r="K98" s="33"/>
      <c r="L98" s="33"/>
      <c r="M98" s="33"/>
      <c r="N98" s="33"/>
      <c r="O98" s="33"/>
      <c r="AK98" s="33">
        <f t="shared" si="8"/>
        <v>0</v>
      </c>
      <c r="AL98" s="33" t="e">
        <f t="shared" ca="1" si="9"/>
        <v>#REF!</v>
      </c>
      <c r="AM98" s="33" t="str">
        <f t="shared" si="10"/>
        <v/>
      </c>
      <c r="AN98" s="33" t="e">
        <f t="shared" ca="1" si="11"/>
        <v>#REF!</v>
      </c>
      <c r="AO98" s="174" t="e">
        <f t="shared" ca="1" si="12"/>
        <v>#REF!</v>
      </c>
      <c r="AP98" s="174" t="e">
        <f t="shared" ca="1" si="13"/>
        <v>#REF!</v>
      </c>
    </row>
    <row r="99" spans="1:42">
      <c r="A99" s="33" t="str">
        <f t="shared" si="7"/>
        <v/>
      </c>
      <c r="F99" s="38"/>
      <c r="G99" s="46"/>
      <c r="I99" s="33"/>
      <c r="J99" s="173" t="str" cm="1">
        <f t="array" aca="1" ref="J99" ca="1">IFERROR(_xlfn.IFS(OR(AL99&lt;&gt;"",AP99&lt;&gt;""),"STCOアサイン済",OR(AN99&lt;&gt;"",AO99&lt;&gt;""),"CHAT中"),"")</f>
        <v/>
      </c>
      <c r="K99" s="33"/>
      <c r="L99" s="33"/>
      <c r="M99" s="33"/>
      <c r="N99" s="33"/>
      <c r="O99" s="33"/>
      <c r="AK99" s="33">
        <f t="shared" si="8"/>
        <v>0</v>
      </c>
      <c r="AL99" s="33" t="e">
        <f t="shared" ca="1" si="9"/>
        <v>#REF!</v>
      </c>
      <c r="AM99" s="33" t="str">
        <f t="shared" si="10"/>
        <v/>
      </c>
      <c r="AN99" s="33" t="e">
        <f t="shared" ca="1" si="11"/>
        <v>#REF!</v>
      </c>
      <c r="AO99" s="174" t="e">
        <f t="shared" ca="1" si="12"/>
        <v>#REF!</v>
      </c>
      <c r="AP99" s="174" t="e">
        <f t="shared" ca="1" si="13"/>
        <v>#REF!</v>
      </c>
    </row>
    <row r="100" spans="1:42">
      <c r="A100" s="33" t="str">
        <f t="shared" si="7"/>
        <v/>
      </c>
      <c r="F100" s="38"/>
      <c r="G100" s="46"/>
      <c r="I100" s="33"/>
      <c r="J100" s="173" t="str" cm="1">
        <f t="array" aca="1" ref="J100" ca="1">IFERROR(_xlfn.IFS(OR(AL100&lt;&gt;"",AP100&lt;&gt;""),"STCOアサイン済",OR(AN100&lt;&gt;"",AO100&lt;&gt;""),"CHAT中"),"")</f>
        <v/>
      </c>
      <c r="K100" s="33"/>
      <c r="L100" s="33"/>
      <c r="M100" s="33"/>
      <c r="N100" s="33"/>
      <c r="O100" s="33"/>
      <c r="AK100" s="33">
        <f t="shared" si="8"/>
        <v>0</v>
      </c>
      <c r="AL100" s="33" t="e">
        <f t="shared" ca="1" si="9"/>
        <v>#REF!</v>
      </c>
      <c r="AM100" s="33" t="str">
        <f t="shared" si="10"/>
        <v/>
      </c>
      <c r="AN100" s="33" t="e">
        <f t="shared" ca="1" si="11"/>
        <v>#REF!</v>
      </c>
      <c r="AO100" s="174" t="e">
        <f t="shared" ca="1" si="12"/>
        <v>#REF!</v>
      </c>
      <c r="AP100" s="174" t="e">
        <f t="shared" ca="1" si="13"/>
        <v>#REF!</v>
      </c>
    </row>
    <row r="101" spans="1:42">
      <c r="A101" s="33" t="str">
        <f t="shared" si="7"/>
        <v/>
      </c>
      <c r="F101" s="38"/>
      <c r="G101" s="46"/>
      <c r="I101" s="33"/>
      <c r="J101" s="173" t="str" cm="1">
        <f t="array" aca="1" ref="J101" ca="1">IFERROR(_xlfn.IFS(OR(AL101&lt;&gt;"",AP101&lt;&gt;""),"STCOアサイン済",OR(AN101&lt;&gt;"",AO101&lt;&gt;""),"CHAT中"),"")</f>
        <v/>
      </c>
      <c r="K101" s="33"/>
      <c r="L101" s="33"/>
      <c r="M101" s="33"/>
      <c r="N101" s="33"/>
      <c r="O101" s="33"/>
      <c r="AK101" s="33">
        <f t="shared" si="8"/>
        <v>0</v>
      </c>
      <c r="AL101" s="33" t="e">
        <f t="shared" ca="1" si="9"/>
        <v>#REF!</v>
      </c>
      <c r="AM101" s="33" t="str">
        <f t="shared" si="10"/>
        <v/>
      </c>
      <c r="AN101" s="33" t="e">
        <f t="shared" ca="1" si="11"/>
        <v>#REF!</v>
      </c>
      <c r="AO101" s="174" t="e">
        <f t="shared" ca="1" si="12"/>
        <v>#REF!</v>
      </c>
      <c r="AP101" s="174" t="e">
        <f t="shared" ca="1" si="13"/>
        <v>#REF!</v>
      </c>
    </row>
    <row r="102" spans="1:42">
      <c r="A102" s="33" t="str">
        <f t="shared" si="7"/>
        <v/>
      </c>
      <c r="F102" s="38"/>
      <c r="G102" s="46"/>
      <c r="I102" s="33"/>
      <c r="J102" s="173" t="str" cm="1">
        <f t="array" aca="1" ref="J102" ca="1">IFERROR(_xlfn.IFS(OR(AL102&lt;&gt;"",AP102&lt;&gt;""),"STCOアサイン済",OR(AN102&lt;&gt;"",AO102&lt;&gt;""),"CHAT中"),"")</f>
        <v/>
      </c>
      <c r="K102" s="33"/>
      <c r="L102" s="33"/>
      <c r="M102" s="33"/>
      <c r="N102" s="33"/>
      <c r="O102" s="33"/>
      <c r="AK102" s="33">
        <f t="shared" si="8"/>
        <v>0</v>
      </c>
      <c r="AL102" s="33" t="e">
        <f t="shared" ca="1" si="9"/>
        <v>#REF!</v>
      </c>
      <c r="AM102" s="33" t="str">
        <f t="shared" si="10"/>
        <v/>
      </c>
      <c r="AN102" s="33" t="e">
        <f t="shared" ca="1" si="11"/>
        <v>#REF!</v>
      </c>
      <c r="AO102" s="174" t="e">
        <f t="shared" ca="1" si="12"/>
        <v>#REF!</v>
      </c>
      <c r="AP102" s="174" t="e">
        <f t="shared" ca="1" si="13"/>
        <v>#REF!</v>
      </c>
    </row>
    <row r="103" spans="1:42">
      <c r="A103" s="33" t="str">
        <f t="shared" si="7"/>
        <v/>
      </c>
      <c r="F103" s="38"/>
      <c r="G103" s="46"/>
      <c r="I103" s="33"/>
      <c r="J103" s="173" t="str" cm="1">
        <f t="array" aca="1" ref="J103" ca="1">IFERROR(_xlfn.IFS(OR(AL103&lt;&gt;"",AP103&lt;&gt;""),"STCOアサイン済",OR(AN103&lt;&gt;"",AO103&lt;&gt;""),"CHAT中"),"")</f>
        <v/>
      </c>
      <c r="K103" s="33"/>
      <c r="L103" s="33"/>
      <c r="M103" s="33"/>
      <c r="N103" s="33"/>
      <c r="O103" s="33"/>
      <c r="AK103" s="33">
        <f t="shared" si="8"/>
        <v>0</v>
      </c>
      <c r="AL103" s="33" t="e">
        <f t="shared" ca="1" si="9"/>
        <v>#REF!</v>
      </c>
      <c r="AM103" s="33" t="str">
        <f t="shared" si="10"/>
        <v/>
      </c>
      <c r="AN103" s="33" t="e">
        <f t="shared" ca="1" si="11"/>
        <v>#REF!</v>
      </c>
      <c r="AO103" s="174" t="e">
        <f t="shared" ca="1" si="12"/>
        <v>#REF!</v>
      </c>
      <c r="AP103" s="174" t="e">
        <f t="shared" ca="1" si="13"/>
        <v>#REF!</v>
      </c>
    </row>
    <row r="104" spans="1:42">
      <c r="A104" s="33" t="str">
        <f t="shared" si="7"/>
        <v/>
      </c>
      <c r="F104" s="38"/>
      <c r="G104" s="46"/>
      <c r="I104" s="33"/>
      <c r="J104" s="173" t="str" cm="1">
        <f t="array" aca="1" ref="J104" ca="1">IFERROR(_xlfn.IFS(OR(AL104&lt;&gt;"",AP104&lt;&gt;""),"STCOアサイン済",OR(AN104&lt;&gt;"",AO104&lt;&gt;""),"CHAT中"),"")</f>
        <v/>
      </c>
      <c r="K104" s="33"/>
      <c r="L104" s="33"/>
      <c r="M104" s="33"/>
      <c r="N104" s="33"/>
      <c r="O104" s="33"/>
      <c r="AK104" s="33">
        <f t="shared" si="8"/>
        <v>0</v>
      </c>
      <c r="AL104" s="33" t="e">
        <f t="shared" ca="1" si="9"/>
        <v>#REF!</v>
      </c>
      <c r="AM104" s="33" t="str">
        <f t="shared" si="10"/>
        <v/>
      </c>
      <c r="AN104" s="33" t="e">
        <f t="shared" ca="1" si="11"/>
        <v>#REF!</v>
      </c>
      <c r="AO104" s="174" t="e">
        <f t="shared" ca="1" si="12"/>
        <v>#REF!</v>
      </c>
      <c r="AP104" s="174" t="e">
        <f t="shared" ca="1" si="13"/>
        <v>#REF!</v>
      </c>
    </row>
    <row r="105" spans="1:42">
      <c r="A105" s="33" t="str">
        <f t="shared" si="7"/>
        <v/>
      </c>
      <c r="F105" s="38"/>
      <c r="G105" s="46"/>
      <c r="I105" s="33"/>
      <c r="J105" s="173" t="str" cm="1">
        <f t="array" aca="1" ref="J105" ca="1">IFERROR(_xlfn.IFS(OR(AL105&lt;&gt;"",AP105&lt;&gt;""),"STCOアサイン済",OR(AN105&lt;&gt;"",AO105&lt;&gt;""),"CHAT中"),"")</f>
        <v/>
      </c>
      <c r="K105" s="33"/>
      <c r="L105" s="33"/>
      <c r="M105" s="33"/>
      <c r="N105" s="33"/>
      <c r="O105" s="33"/>
      <c r="AK105" s="33">
        <f t="shared" si="8"/>
        <v>0</v>
      </c>
      <c r="AL105" s="33" t="e">
        <f t="shared" ca="1" si="9"/>
        <v>#REF!</v>
      </c>
      <c r="AM105" s="33" t="str">
        <f t="shared" si="10"/>
        <v/>
      </c>
      <c r="AN105" s="33" t="e">
        <f t="shared" ca="1" si="11"/>
        <v>#REF!</v>
      </c>
      <c r="AO105" s="174" t="e">
        <f t="shared" ca="1" si="12"/>
        <v>#REF!</v>
      </c>
      <c r="AP105" s="174" t="e">
        <f t="shared" ca="1" si="13"/>
        <v>#REF!</v>
      </c>
    </row>
    <row r="106" spans="1:42">
      <c r="A106" s="33" t="str">
        <f t="shared" si="7"/>
        <v/>
      </c>
      <c r="F106" s="38"/>
      <c r="G106" s="46"/>
      <c r="I106" s="33"/>
      <c r="J106" s="173" t="str" cm="1">
        <f t="array" aca="1" ref="J106" ca="1">IFERROR(_xlfn.IFS(OR(AL106&lt;&gt;"",AP106&lt;&gt;""),"STCOアサイン済",OR(AN106&lt;&gt;"",AO106&lt;&gt;""),"CHAT中"),"")</f>
        <v/>
      </c>
      <c r="K106" s="33"/>
      <c r="L106" s="33"/>
      <c r="M106" s="33"/>
      <c r="N106" s="33"/>
      <c r="O106" s="33"/>
      <c r="AK106" s="33">
        <f t="shared" si="8"/>
        <v>0</v>
      </c>
      <c r="AL106" s="33" t="e">
        <f t="shared" ca="1" si="9"/>
        <v>#REF!</v>
      </c>
      <c r="AM106" s="33" t="str">
        <f t="shared" si="10"/>
        <v/>
      </c>
      <c r="AN106" s="33" t="e">
        <f t="shared" ca="1" si="11"/>
        <v>#REF!</v>
      </c>
      <c r="AO106" s="174" t="e">
        <f t="shared" ca="1" si="12"/>
        <v>#REF!</v>
      </c>
      <c r="AP106" s="174" t="e">
        <f t="shared" ca="1" si="13"/>
        <v>#REF!</v>
      </c>
    </row>
    <row r="107" spans="1:42">
      <c r="A107" s="33" t="str">
        <f t="shared" si="7"/>
        <v/>
      </c>
      <c r="F107" s="38"/>
      <c r="G107" s="46"/>
      <c r="I107" s="33"/>
      <c r="J107" s="173" t="str" cm="1">
        <f t="array" aca="1" ref="J107" ca="1">IFERROR(_xlfn.IFS(OR(AL107&lt;&gt;"",AP107&lt;&gt;""),"STCOアサイン済",OR(AN107&lt;&gt;"",AO107&lt;&gt;""),"CHAT中"),"")</f>
        <v/>
      </c>
      <c r="K107" s="33"/>
      <c r="L107" s="33"/>
      <c r="M107" s="33"/>
      <c r="N107" s="33"/>
      <c r="O107" s="33"/>
      <c r="AK107" s="33">
        <f t="shared" si="8"/>
        <v>0</v>
      </c>
      <c r="AL107" s="33" t="e">
        <f t="shared" ca="1" si="9"/>
        <v>#REF!</v>
      </c>
      <c r="AM107" s="33" t="str">
        <f t="shared" si="10"/>
        <v/>
      </c>
      <c r="AN107" s="33" t="e">
        <f t="shared" ca="1" si="11"/>
        <v>#REF!</v>
      </c>
      <c r="AO107" s="174" t="e">
        <f t="shared" ca="1" si="12"/>
        <v>#REF!</v>
      </c>
      <c r="AP107" s="174" t="e">
        <f t="shared" ca="1" si="13"/>
        <v>#REF!</v>
      </c>
    </row>
    <row r="108" spans="1:42">
      <c r="A108" s="33" t="str">
        <f t="shared" si="7"/>
        <v/>
      </c>
      <c r="I108" s="33"/>
      <c r="J108" s="173" t="str" cm="1">
        <f t="array" aca="1" ref="J108" ca="1">IFERROR(_xlfn.IFS(OR(AL108&lt;&gt;"",AP108&lt;&gt;""),"STCOアサイン済",OR(AN108&lt;&gt;"",AO108&lt;&gt;""),"CHAT中"),"")</f>
        <v/>
      </c>
      <c r="K108" s="33"/>
      <c r="L108" s="33"/>
      <c r="M108" s="33"/>
      <c r="N108" s="33"/>
      <c r="O108" s="33"/>
      <c r="AK108" s="33">
        <f t="shared" si="8"/>
        <v>0</v>
      </c>
      <c r="AL108" s="33" t="e">
        <f t="shared" ca="1" si="9"/>
        <v>#REF!</v>
      </c>
      <c r="AM108" s="33" t="str">
        <f t="shared" si="10"/>
        <v/>
      </c>
      <c r="AN108" s="33" t="e">
        <f t="shared" ca="1" si="11"/>
        <v>#REF!</v>
      </c>
      <c r="AO108" s="174" t="e">
        <f t="shared" ca="1" si="12"/>
        <v>#REF!</v>
      </c>
      <c r="AP108" s="174" t="e">
        <f t="shared" ca="1" si="13"/>
        <v>#REF!</v>
      </c>
    </row>
    <row r="109" spans="1:42">
      <c r="A109" s="33" t="str">
        <f t="shared" si="7"/>
        <v/>
      </c>
      <c r="I109" s="33"/>
      <c r="J109" s="173" t="str" cm="1">
        <f t="array" aca="1" ref="J109" ca="1">IFERROR(_xlfn.IFS(OR(AL109&lt;&gt;"",AP109&lt;&gt;""),"STCOアサイン済",OR(AN109&lt;&gt;"",AO109&lt;&gt;""),"CHAT中"),"")</f>
        <v/>
      </c>
      <c r="K109" s="33"/>
      <c r="L109" s="33"/>
      <c r="M109" s="33"/>
      <c r="N109" s="33"/>
      <c r="O109" s="33"/>
      <c r="AK109" s="33">
        <f t="shared" si="8"/>
        <v>0</v>
      </c>
      <c r="AL109" s="33" t="e">
        <f t="shared" ca="1" si="9"/>
        <v>#REF!</v>
      </c>
      <c r="AM109" s="33" t="str">
        <f t="shared" si="10"/>
        <v/>
      </c>
      <c r="AN109" s="33" t="e">
        <f t="shared" ca="1" si="11"/>
        <v>#REF!</v>
      </c>
      <c r="AO109" s="174" t="e">
        <f t="shared" ca="1" si="12"/>
        <v>#REF!</v>
      </c>
      <c r="AP109" s="174" t="e">
        <f t="shared" ca="1" si="13"/>
        <v>#REF!</v>
      </c>
    </row>
    <row r="110" spans="1:42">
      <c r="A110" s="33" t="str">
        <f t="shared" si="7"/>
        <v/>
      </c>
      <c r="I110" s="33"/>
      <c r="J110" s="173" t="str" cm="1">
        <f t="array" aca="1" ref="J110" ca="1">IFERROR(_xlfn.IFS(OR(AL110&lt;&gt;"",AP110&lt;&gt;""),"STCOアサイン済",OR(AN110&lt;&gt;"",AO110&lt;&gt;""),"CHAT中"),"")</f>
        <v/>
      </c>
      <c r="K110" s="33"/>
      <c r="L110" s="33"/>
      <c r="M110" s="33"/>
      <c r="N110" s="33"/>
      <c r="O110" s="33"/>
      <c r="AK110" s="33">
        <f t="shared" si="8"/>
        <v>0</v>
      </c>
      <c r="AL110" s="33" t="e">
        <f t="shared" ca="1" si="9"/>
        <v>#REF!</v>
      </c>
      <c r="AM110" s="33" t="str">
        <f t="shared" si="10"/>
        <v/>
      </c>
      <c r="AN110" s="33" t="e">
        <f t="shared" ca="1" si="11"/>
        <v>#REF!</v>
      </c>
      <c r="AO110" s="174" t="e">
        <f t="shared" ca="1" si="12"/>
        <v>#REF!</v>
      </c>
      <c r="AP110" s="174" t="e">
        <f t="shared" ca="1" si="13"/>
        <v>#REF!</v>
      </c>
    </row>
    <row r="111" spans="1:42">
      <c r="A111" s="33" t="str">
        <f t="shared" si="7"/>
        <v/>
      </c>
      <c r="I111" s="33"/>
      <c r="J111" s="173" t="str" cm="1">
        <f t="array" aca="1" ref="J111" ca="1">IFERROR(_xlfn.IFS(OR(AL111&lt;&gt;"",AP111&lt;&gt;""),"STCOアサイン済",OR(AN111&lt;&gt;"",AO111&lt;&gt;""),"CHAT中"),"")</f>
        <v/>
      </c>
      <c r="K111" s="33"/>
      <c r="L111" s="33"/>
      <c r="M111" s="33"/>
      <c r="N111" s="33"/>
      <c r="O111" s="33"/>
      <c r="AK111" s="33">
        <f t="shared" si="8"/>
        <v>0</v>
      </c>
      <c r="AL111" s="33" t="e">
        <f t="shared" ca="1" si="9"/>
        <v>#REF!</v>
      </c>
      <c r="AM111" s="33" t="str">
        <f t="shared" si="10"/>
        <v/>
      </c>
      <c r="AN111" s="33" t="e">
        <f t="shared" ca="1" si="11"/>
        <v>#REF!</v>
      </c>
      <c r="AO111" s="174" t="e">
        <f t="shared" ca="1" si="12"/>
        <v>#REF!</v>
      </c>
      <c r="AP111" s="174" t="e">
        <f t="shared" ca="1" si="13"/>
        <v>#REF!</v>
      </c>
    </row>
    <row r="112" spans="1:42">
      <c r="A112" s="33" t="str">
        <f t="shared" si="7"/>
        <v/>
      </c>
      <c r="I112" s="33"/>
      <c r="J112" s="173" t="str" cm="1">
        <f t="array" aca="1" ref="J112" ca="1">IFERROR(_xlfn.IFS(OR(AL112&lt;&gt;"",AP112&lt;&gt;""),"STCOアサイン済",OR(AN112&lt;&gt;"",AO112&lt;&gt;""),"CHAT中"),"")</f>
        <v/>
      </c>
      <c r="K112" s="33"/>
      <c r="L112" s="33"/>
      <c r="M112" s="33"/>
      <c r="N112" s="33"/>
      <c r="O112" s="33"/>
      <c r="AK112" s="33">
        <f t="shared" si="8"/>
        <v>0</v>
      </c>
      <c r="AL112" s="33" t="e">
        <f t="shared" ca="1" si="9"/>
        <v>#REF!</v>
      </c>
      <c r="AM112" s="33" t="str">
        <f t="shared" si="10"/>
        <v/>
      </c>
      <c r="AN112" s="33" t="e">
        <f t="shared" ca="1" si="11"/>
        <v>#REF!</v>
      </c>
      <c r="AO112" s="174" t="e">
        <f t="shared" ca="1" si="12"/>
        <v>#REF!</v>
      </c>
      <c r="AP112" s="174" t="e">
        <f t="shared" ca="1" si="13"/>
        <v>#REF!</v>
      </c>
    </row>
    <row r="113" spans="1:42">
      <c r="A113" s="33" t="str">
        <f t="shared" si="7"/>
        <v/>
      </c>
      <c r="I113" s="33"/>
      <c r="J113" s="173" t="str" cm="1">
        <f t="array" aca="1" ref="J113" ca="1">IFERROR(_xlfn.IFS(OR(AL113&lt;&gt;"",AP113&lt;&gt;""),"STCOアサイン済",OR(AN113&lt;&gt;"",AO113&lt;&gt;""),"CHAT中"),"")</f>
        <v/>
      </c>
      <c r="K113" s="33"/>
      <c r="L113" s="33"/>
      <c r="M113" s="33"/>
      <c r="N113" s="33"/>
      <c r="O113" s="33"/>
      <c r="AK113" s="33">
        <f t="shared" si="8"/>
        <v>0</v>
      </c>
      <c r="AL113" s="33" t="e">
        <f t="shared" ca="1" si="9"/>
        <v>#REF!</v>
      </c>
      <c r="AM113" s="33" t="str">
        <f t="shared" si="10"/>
        <v/>
      </c>
      <c r="AN113" s="33" t="e">
        <f t="shared" ca="1" si="11"/>
        <v>#REF!</v>
      </c>
      <c r="AO113" s="174" t="e">
        <f t="shared" ca="1" si="12"/>
        <v>#REF!</v>
      </c>
      <c r="AP113" s="174" t="e">
        <f t="shared" ca="1" si="13"/>
        <v>#REF!</v>
      </c>
    </row>
    <row r="114" spans="1:42">
      <c r="A114" s="33" t="str">
        <f t="shared" si="7"/>
        <v/>
      </c>
      <c r="I114" s="33"/>
      <c r="J114" s="173" t="str" cm="1">
        <f t="array" aca="1" ref="J114" ca="1">IFERROR(_xlfn.IFS(OR(AL114&lt;&gt;"",AP114&lt;&gt;""),"STCOアサイン済",OR(AN114&lt;&gt;"",AO114&lt;&gt;""),"CHAT中"),"")</f>
        <v/>
      </c>
      <c r="K114" s="33"/>
      <c r="L114" s="33"/>
      <c r="M114" s="33"/>
      <c r="N114" s="33"/>
      <c r="O114" s="33"/>
      <c r="AK114" s="33">
        <f t="shared" si="8"/>
        <v>0</v>
      </c>
      <c r="AL114" s="33" t="e">
        <f t="shared" ca="1" si="9"/>
        <v>#REF!</v>
      </c>
      <c r="AM114" s="33" t="str">
        <f t="shared" si="10"/>
        <v/>
      </c>
      <c r="AN114" s="33" t="e">
        <f t="shared" ca="1" si="11"/>
        <v>#REF!</v>
      </c>
      <c r="AO114" s="174" t="e">
        <f t="shared" ca="1" si="12"/>
        <v>#REF!</v>
      </c>
      <c r="AP114" s="174" t="e">
        <f t="shared" ca="1" si="13"/>
        <v>#REF!</v>
      </c>
    </row>
    <row r="115" spans="1:42">
      <c r="A115" s="33" t="str">
        <f t="shared" si="7"/>
        <v/>
      </c>
      <c r="I115" s="33"/>
      <c r="J115" s="173" t="str" cm="1">
        <f t="array" aca="1" ref="J115" ca="1">IFERROR(_xlfn.IFS(OR(AL115&lt;&gt;"",AP115&lt;&gt;""),"STCOアサイン済",OR(AN115&lt;&gt;"",AO115&lt;&gt;""),"CHAT中"),"")</f>
        <v/>
      </c>
      <c r="K115" s="33"/>
      <c r="L115" s="33"/>
      <c r="M115" s="33"/>
      <c r="N115" s="33"/>
      <c r="O115" s="33"/>
      <c r="AK115" s="33">
        <f t="shared" si="8"/>
        <v>0</v>
      </c>
      <c r="AL115" s="33" t="e">
        <f t="shared" ca="1" si="9"/>
        <v>#REF!</v>
      </c>
      <c r="AM115" s="33" t="str">
        <f t="shared" si="10"/>
        <v/>
      </c>
      <c r="AN115" s="33" t="e">
        <f t="shared" ca="1" si="11"/>
        <v>#REF!</v>
      </c>
      <c r="AO115" s="174" t="e">
        <f t="shared" ca="1" si="12"/>
        <v>#REF!</v>
      </c>
      <c r="AP115" s="174" t="e">
        <f t="shared" ca="1" si="13"/>
        <v>#REF!</v>
      </c>
    </row>
    <row r="116" spans="1:42">
      <c r="A116" s="33" t="str">
        <f t="shared" si="7"/>
        <v/>
      </c>
      <c r="I116" s="33"/>
      <c r="J116" s="173" t="str" cm="1">
        <f t="array" aca="1" ref="J116" ca="1">IFERROR(_xlfn.IFS(OR(AL116&lt;&gt;"",AP116&lt;&gt;""),"STCOアサイン済",OR(AN116&lt;&gt;"",AO116&lt;&gt;""),"CHAT中"),"")</f>
        <v/>
      </c>
      <c r="K116" s="33"/>
      <c r="L116" s="33"/>
      <c r="M116" s="33"/>
      <c r="N116" s="33"/>
      <c r="O116" s="33"/>
      <c r="AK116" s="33">
        <f t="shared" si="8"/>
        <v>0</v>
      </c>
      <c r="AL116" s="33" t="e">
        <f t="shared" ca="1" si="9"/>
        <v>#REF!</v>
      </c>
      <c r="AM116" s="33" t="str">
        <f t="shared" si="10"/>
        <v/>
      </c>
      <c r="AN116" s="33" t="e">
        <f t="shared" ca="1" si="11"/>
        <v>#REF!</v>
      </c>
      <c r="AO116" s="174" t="e">
        <f t="shared" ca="1" si="12"/>
        <v>#REF!</v>
      </c>
      <c r="AP116" s="174" t="e">
        <f t="shared" ca="1" si="13"/>
        <v>#REF!</v>
      </c>
    </row>
    <row r="117" spans="1:42">
      <c r="A117" s="33" t="str">
        <f t="shared" si="7"/>
        <v/>
      </c>
      <c r="I117" s="33"/>
      <c r="J117" s="173" t="str" cm="1">
        <f t="array" aca="1" ref="J117" ca="1">IFERROR(_xlfn.IFS(OR(AL117&lt;&gt;"",AP117&lt;&gt;""),"STCOアサイン済",OR(AN117&lt;&gt;"",AO117&lt;&gt;""),"CHAT中"),"")</f>
        <v/>
      </c>
      <c r="K117" s="33"/>
      <c r="L117" s="33"/>
      <c r="M117" s="33"/>
      <c r="N117" s="33"/>
      <c r="O117" s="33"/>
      <c r="AK117" s="33">
        <f t="shared" si="8"/>
        <v>0</v>
      </c>
      <c r="AL117" s="33" t="e">
        <f t="shared" ca="1" si="9"/>
        <v>#REF!</v>
      </c>
      <c r="AM117" s="33" t="str">
        <f t="shared" si="10"/>
        <v/>
      </c>
      <c r="AN117" s="33" t="e">
        <f t="shared" ca="1" si="11"/>
        <v>#REF!</v>
      </c>
      <c r="AO117" s="174" t="e">
        <f t="shared" ca="1" si="12"/>
        <v>#REF!</v>
      </c>
      <c r="AP117" s="174" t="e">
        <f t="shared" ca="1" si="13"/>
        <v>#REF!</v>
      </c>
    </row>
    <row r="118" spans="1:42">
      <c r="A118" s="33" t="str">
        <f t="shared" si="7"/>
        <v/>
      </c>
      <c r="I118" s="33"/>
      <c r="J118" s="173" t="str" cm="1">
        <f t="array" aca="1" ref="J118" ca="1">IFERROR(_xlfn.IFS(OR(AL118&lt;&gt;"",AP118&lt;&gt;""),"STCOアサイン済",OR(AN118&lt;&gt;"",AO118&lt;&gt;""),"CHAT中"),"")</f>
        <v/>
      </c>
      <c r="K118" s="33"/>
      <c r="L118" s="33"/>
      <c r="M118" s="33"/>
      <c r="N118" s="33"/>
      <c r="O118" s="33"/>
      <c r="AK118" s="33">
        <f t="shared" si="8"/>
        <v>0</v>
      </c>
      <c r="AL118" s="33" t="e">
        <f t="shared" ca="1" si="9"/>
        <v>#REF!</v>
      </c>
      <c r="AM118" s="33" t="str">
        <f t="shared" si="10"/>
        <v/>
      </c>
      <c r="AN118" s="33" t="e">
        <f t="shared" ca="1" si="11"/>
        <v>#REF!</v>
      </c>
      <c r="AO118" s="174" t="e">
        <f t="shared" ca="1" si="12"/>
        <v>#REF!</v>
      </c>
      <c r="AP118" s="174" t="e">
        <f t="shared" ca="1" si="13"/>
        <v>#REF!</v>
      </c>
    </row>
    <row r="119" spans="1:42">
      <c r="A119" s="33" t="str">
        <f t="shared" si="7"/>
        <v/>
      </c>
      <c r="I119" s="33"/>
      <c r="J119" s="173" t="str" cm="1">
        <f t="array" aca="1" ref="J119" ca="1">IFERROR(_xlfn.IFS(OR(AL119&lt;&gt;"",AP119&lt;&gt;""),"STCOアサイン済",OR(AN119&lt;&gt;"",AO119&lt;&gt;""),"CHAT中"),"")</f>
        <v/>
      </c>
      <c r="K119" s="33"/>
      <c r="L119" s="33"/>
      <c r="M119" s="33"/>
      <c r="N119" s="33"/>
      <c r="O119" s="33"/>
      <c r="AK119" s="33">
        <f t="shared" si="8"/>
        <v>0</v>
      </c>
      <c r="AL119" s="33" t="e">
        <f t="shared" ca="1" si="9"/>
        <v>#REF!</v>
      </c>
      <c r="AM119" s="33" t="str">
        <f t="shared" si="10"/>
        <v/>
      </c>
      <c r="AN119" s="33" t="e">
        <f t="shared" ca="1" si="11"/>
        <v>#REF!</v>
      </c>
      <c r="AO119" s="174" t="e">
        <f t="shared" ca="1" si="12"/>
        <v>#REF!</v>
      </c>
      <c r="AP119" s="174" t="e">
        <f t="shared" ca="1" si="13"/>
        <v>#REF!</v>
      </c>
    </row>
    <row r="120" spans="1:42">
      <c r="A120" s="33" t="str">
        <f t="shared" si="7"/>
        <v/>
      </c>
      <c r="I120" s="33"/>
      <c r="J120" s="173" t="str" cm="1">
        <f t="array" aca="1" ref="J120" ca="1">IFERROR(_xlfn.IFS(OR(AL120&lt;&gt;"",AP120&lt;&gt;""),"STCOアサイン済",OR(AN120&lt;&gt;"",AO120&lt;&gt;""),"CHAT中"),"")</f>
        <v/>
      </c>
      <c r="K120" s="33"/>
      <c r="L120" s="33"/>
      <c r="M120" s="33"/>
      <c r="N120" s="33"/>
      <c r="O120" s="33"/>
      <c r="AK120" s="33">
        <f t="shared" si="8"/>
        <v>0</v>
      </c>
      <c r="AL120" s="33" t="e">
        <f t="shared" ca="1" si="9"/>
        <v>#REF!</v>
      </c>
      <c r="AM120" s="33" t="str">
        <f t="shared" si="10"/>
        <v/>
      </c>
      <c r="AN120" s="33" t="e">
        <f t="shared" ca="1" si="11"/>
        <v>#REF!</v>
      </c>
      <c r="AO120" s="174" t="e">
        <f t="shared" ca="1" si="12"/>
        <v>#REF!</v>
      </c>
      <c r="AP120" s="174" t="e">
        <f t="shared" ca="1" si="13"/>
        <v>#REF!</v>
      </c>
    </row>
    <row r="121" spans="1:42">
      <c r="A121" s="33" t="str">
        <f t="shared" si="7"/>
        <v/>
      </c>
      <c r="I121" s="33"/>
      <c r="J121" s="173" t="str" cm="1">
        <f t="array" aca="1" ref="J121" ca="1">IFERROR(_xlfn.IFS(OR(AL121&lt;&gt;"",AP121&lt;&gt;""),"STCOアサイン済",OR(AN121&lt;&gt;"",AO121&lt;&gt;""),"CHAT中"),"")</f>
        <v/>
      </c>
      <c r="K121" s="33"/>
      <c r="L121" s="33"/>
      <c r="M121" s="33"/>
      <c r="N121" s="33"/>
      <c r="O121" s="33"/>
      <c r="AK121" s="33">
        <f t="shared" si="8"/>
        <v>0</v>
      </c>
      <c r="AL121" s="33" t="e">
        <f t="shared" ca="1" si="9"/>
        <v>#REF!</v>
      </c>
      <c r="AM121" s="33" t="str">
        <f t="shared" si="10"/>
        <v/>
      </c>
      <c r="AN121" s="33" t="e">
        <f t="shared" ca="1" si="11"/>
        <v>#REF!</v>
      </c>
      <c r="AO121" s="174" t="e">
        <f t="shared" ca="1" si="12"/>
        <v>#REF!</v>
      </c>
      <c r="AP121" s="174" t="e">
        <f t="shared" ca="1" si="13"/>
        <v>#REF!</v>
      </c>
    </row>
    <row r="122" spans="1:42">
      <c r="A122" s="33" t="str">
        <f t="shared" si="7"/>
        <v/>
      </c>
      <c r="I122" s="33"/>
      <c r="J122" s="173" t="str" cm="1">
        <f t="array" aca="1" ref="J122" ca="1">IFERROR(_xlfn.IFS(OR(AL122&lt;&gt;"",AP122&lt;&gt;""),"STCOアサイン済",OR(AN122&lt;&gt;"",AO122&lt;&gt;""),"CHAT中"),"")</f>
        <v/>
      </c>
      <c r="K122" s="33"/>
      <c r="L122" s="33"/>
      <c r="M122" s="33"/>
      <c r="N122" s="33"/>
      <c r="O122" s="33"/>
      <c r="AK122" s="33">
        <f t="shared" si="8"/>
        <v>0</v>
      </c>
      <c r="AL122" s="33" t="e">
        <f t="shared" ca="1" si="9"/>
        <v>#REF!</v>
      </c>
      <c r="AM122" s="33" t="str">
        <f t="shared" si="10"/>
        <v/>
      </c>
      <c r="AN122" s="33" t="e">
        <f t="shared" ca="1" si="11"/>
        <v>#REF!</v>
      </c>
      <c r="AO122" s="174" t="e">
        <f t="shared" ca="1" si="12"/>
        <v>#REF!</v>
      </c>
      <c r="AP122" s="174" t="e">
        <f t="shared" ca="1" si="13"/>
        <v>#REF!</v>
      </c>
    </row>
    <row r="123" spans="1:42">
      <c r="A123" s="33" t="str">
        <f t="shared" si="7"/>
        <v/>
      </c>
      <c r="I123" s="33"/>
      <c r="J123" s="173" t="str" cm="1">
        <f t="array" aca="1" ref="J123" ca="1">IFERROR(_xlfn.IFS(OR(AL123&lt;&gt;"",AP123&lt;&gt;""),"STCOアサイン済",OR(AN123&lt;&gt;"",AO123&lt;&gt;""),"CHAT中"),"")</f>
        <v/>
      </c>
      <c r="K123" s="33"/>
      <c r="L123" s="33"/>
      <c r="M123" s="33"/>
      <c r="N123" s="33"/>
      <c r="O123" s="33"/>
      <c r="AK123" s="33">
        <f t="shared" si="8"/>
        <v>0</v>
      </c>
      <c r="AL123" s="33" t="e">
        <f t="shared" ca="1" si="9"/>
        <v>#REF!</v>
      </c>
      <c r="AM123" s="33" t="str">
        <f t="shared" si="10"/>
        <v/>
      </c>
      <c r="AN123" s="33" t="e">
        <f t="shared" ca="1" si="11"/>
        <v>#REF!</v>
      </c>
      <c r="AO123" s="174" t="e">
        <f t="shared" ca="1" si="12"/>
        <v>#REF!</v>
      </c>
      <c r="AP123" s="174" t="e">
        <f t="shared" ca="1" si="13"/>
        <v>#REF!</v>
      </c>
    </row>
    <row r="124" spans="1:42">
      <c r="A124" s="33" t="str">
        <f t="shared" si="7"/>
        <v/>
      </c>
      <c r="I124" s="33"/>
      <c r="J124" s="173" t="str" cm="1">
        <f t="array" aca="1" ref="J124" ca="1">IFERROR(_xlfn.IFS(OR(AL124&lt;&gt;"",AP124&lt;&gt;""),"STCOアサイン済",OR(AN124&lt;&gt;"",AO124&lt;&gt;""),"CHAT中"),"")</f>
        <v/>
      </c>
      <c r="K124" s="33"/>
      <c r="L124" s="33"/>
      <c r="M124" s="33"/>
      <c r="N124" s="33"/>
      <c r="O124" s="33"/>
      <c r="AK124" s="33">
        <f t="shared" si="8"/>
        <v>0</v>
      </c>
      <c r="AL124" s="33" t="e">
        <f t="shared" ca="1" si="9"/>
        <v>#REF!</v>
      </c>
      <c r="AM124" s="33" t="str">
        <f t="shared" si="10"/>
        <v/>
      </c>
      <c r="AN124" s="33" t="e">
        <f t="shared" ca="1" si="11"/>
        <v>#REF!</v>
      </c>
      <c r="AO124" s="174" t="e">
        <f t="shared" ca="1" si="12"/>
        <v>#REF!</v>
      </c>
      <c r="AP124" s="174" t="e">
        <f t="shared" ca="1" si="13"/>
        <v>#REF!</v>
      </c>
    </row>
    <row r="125" spans="1:42">
      <c r="A125" s="33" t="str">
        <f t="shared" si="7"/>
        <v/>
      </c>
      <c r="I125" s="33"/>
      <c r="J125" s="173" t="str" cm="1">
        <f t="array" aca="1" ref="J125" ca="1">IFERROR(_xlfn.IFS(OR(AL125&lt;&gt;"",AP125&lt;&gt;""),"STCOアサイン済",OR(AN125&lt;&gt;"",AO125&lt;&gt;""),"CHAT中"),"")</f>
        <v/>
      </c>
      <c r="K125" s="33"/>
      <c r="L125" s="33"/>
      <c r="M125" s="33"/>
      <c r="N125" s="33"/>
      <c r="O125" s="33"/>
      <c r="AK125" s="33">
        <f t="shared" si="8"/>
        <v>0</v>
      </c>
      <c r="AL125" s="33" t="e">
        <f t="shared" ca="1" si="9"/>
        <v>#REF!</v>
      </c>
      <c r="AM125" s="33" t="str">
        <f t="shared" si="10"/>
        <v/>
      </c>
      <c r="AN125" s="33" t="e">
        <f t="shared" ca="1" si="11"/>
        <v>#REF!</v>
      </c>
      <c r="AO125" s="174" t="e">
        <f t="shared" ca="1" si="12"/>
        <v>#REF!</v>
      </c>
      <c r="AP125" s="174" t="e">
        <f t="shared" ca="1" si="13"/>
        <v>#REF!</v>
      </c>
    </row>
    <row r="126" spans="1:42">
      <c r="A126" s="33" t="str">
        <f t="shared" si="7"/>
        <v/>
      </c>
      <c r="I126" s="33"/>
      <c r="J126" s="173" t="str" cm="1">
        <f t="array" aca="1" ref="J126" ca="1">IFERROR(_xlfn.IFS(OR(AL126&lt;&gt;"",AP126&lt;&gt;""),"STCOアサイン済",OR(AN126&lt;&gt;"",AO126&lt;&gt;""),"CHAT中"),"")</f>
        <v/>
      </c>
      <c r="K126" s="33"/>
      <c r="L126" s="33"/>
      <c r="M126" s="33"/>
      <c r="N126" s="33"/>
      <c r="O126" s="33"/>
      <c r="AK126" s="33">
        <f t="shared" si="8"/>
        <v>0</v>
      </c>
      <c r="AL126" s="33" t="e">
        <f t="shared" ca="1" si="9"/>
        <v>#REF!</v>
      </c>
      <c r="AM126" s="33" t="str">
        <f t="shared" si="10"/>
        <v/>
      </c>
      <c r="AN126" s="33" t="e">
        <f t="shared" ca="1" si="11"/>
        <v>#REF!</v>
      </c>
      <c r="AO126" s="174" t="e">
        <f t="shared" ca="1" si="12"/>
        <v>#REF!</v>
      </c>
      <c r="AP126" s="174" t="e">
        <f t="shared" ca="1" si="13"/>
        <v>#REF!</v>
      </c>
    </row>
    <row r="127" spans="1:42">
      <c r="A127" s="33" t="str">
        <f t="shared" si="7"/>
        <v/>
      </c>
      <c r="I127" s="33"/>
      <c r="J127" s="173" t="str" cm="1">
        <f t="array" aca="1" ref="J127" ca="1">IFERROR(_xlfn.IFS(OR(AL127&lt;&gt;"",AP127&lt;&gt;""),"STCOアサイン済",OR(AN127&lt;&gt;"",AO127&lt;&gt;""),"CHAT中"),"")</f>
        <v/>
      </c>
      <c r="K127" s="33"/>
      <c r="L127" s="33"/>
      <c r="M127" s="33"/>
      <c r="N127" s="33"/>
      <c r="O127" s="33"/>
      <c r="AK127" s="33">
        <f t="shared" si="8"/>
        <v>0</v>
      </c>
      <c r="AL127" s="33" t="e">
        <f t="shared" ca="1" si="9"/>
        <v>#REF!</v>
      </c>
      <c r="AM127" s="33" t="str">
        <f t="shared" si="10"/>
        <v/>
      </c>
      <c r="AN127" s="33" t="e">
        <f t="shared" ca="1" si="11"/>
        <v>#REF!</v>
      </c>
      <c r="AO127" s="174" t="e">
        <f t="shared" ca="1" si="12"/>
        <v>#REF!</v>
      </c>
      <c r="AP127" s="174" t="e">
        <f t="shared" ca="1" si="13"/>
        <v>#REF!</v>
      </c>
    </row>
    <row r="128" spans="1:42">
      <c r="A128" s="33" t="str">
        <f t="shared" si="7"/>
        <v/>
      </c>
      <c r="I128" s="33"/>
      <c r="J128" s="173" t="str" cm="1">
        <f t="array" aca="1" ref="J128" ca="1">IFERROR(_xlfn.IFS(OR(AL128&lt;&gt;"",AP128&lt;&gt;""),"STCOアサイン済",OR(AN128&lt;&gt;"",AO128&lt;&gt;""),"CHAT中"),"")</f>
        <v/>
      </c>
      <c r="K128" s="33"/>
      <c r="L128" s="33"/>
      <c r="M128" s="33"/>
      <c r="N128" s="33"/>
      <c r="O128" s="33"/>
      <c r="AK128" s="33">
        <f t="shared" si="8"/>
        <v>0</v>
      </c>
      <c r="AL128" s="33" t="e">
        <f t="shared" ca="1" si="9"/>
        <v>#REF!</v>
      </c>
      <c r="AM128" s="33" t="str">
        <f t="shared" si="10"/>
        <v/>
      </c>
      <c r="AN128" s="33" t="e">
        <f t="shared" ca="1" si="11"/>
        <v>#REF!</v>
      </c>
      <c r="AO128" s="174" t="e">
        <f t="shared" ca="1" si="12"/>
        <v>#REF!</v>
      </c>
      <c r="AP128" s="174" t="e">
        <f t="shared" ca="1" si="13"/>
        <v>#REF!</v>
      </c>
    </row>
    <row r="129" spans="1:42">
      <c r="A129" s="33" t="str">
        <f t="shared" si="7"/>
        <v/>
      </c>
      <c r="I129" s="33"/>
      <c r="J129" s="173" t="str" cm="1">
        <f t="array" aca="1" ref="J129" ca="1">IFERROR(_xlfn.IFS(OR(AL129&lt;&gt;"",AP129&lt;&gt;""),"STCOアサイン済",OR(AN129&lt;&gt;"",AO129&lt;&gt;""),"CHAT中"),"")</f>
        <v/>
      </c>
      <c r="K129" s="33"/>
      <c r="L129" s="33"/>
      <c r="M129" s="33"/>
      <c r="N129" s="33"/>
      <c r="O129" s="33"/>
      <c r="AK129" s="33">
        <f t="shared" si="8"/>
        <v>0</v>
      </c>
      <c r="AL129" s="33" t="e">
        <f t="shared" ca="1" si="9"/>
        <v>#REF!</v>
      </c>
      <c r="AM129" s="33" t="str">
        <f t="shared" si="10"/>
        <v/>
      </c>
      <c r="AN129" s="33" t="e">
        <f t="shared" ca="1" si="11"/>
        <v>#REF!</v>
      </c>
      <c r="AO129" s="174" t="e">
        <f t="shared" ca="1" si="12"/>
        <v>#REF!</v>
      </c>
      <c r="AP129" s="174" t="e">
        <f t="shared" ca="1" si="13"/>
        <v>#REF!</v>
      </c>
    </row>
    <row r="130" spans="1:42">
      <c r="A130" s="33" t="str">
        <f t="shared" si="7"/>
        <v/>
      </c>
      <c r="I130" s="33"/>
      <c r="J130" s="173" t="str" cm="1">
        <f t="array" aca="1" ref="J130" ca="1">IFERROR(_xlfn.IFS(OR(AL130&lt;&gt;"",AP130&lt;&gt;""),"STCOアサイン済",OR(AN130&lt;&gt;"",AO130&lt;&gt;""),"CHAT中"),"")</f>
        <v/>
      </c>
      <c r="K130" s="33"/>
      <c r="L130" s="33"/>
      <c r="M130" s="33"/>
      <c r="N130" s="33"/>
      <c r="O130" s="33"/>
      <c r="AK130" s="33">
        <f t="shared" si="8"/>
        <v>0</v>
      </c>
      <c r="AL130" s="33" t="e">
        <f t="shared" ca="1" si="9"/>
        <v>#REF!</v>
      </c>
      <c r="AM130" s="33" t="str">
        <f t="shared" si="10"/>
        <v/>
      </c>
      <c r="AN130" s="33" t="e">
        <f t="shared" ca="1" si="11"/>
        <v>#REF!</v>
      </c>
      <c r="AO130" s="174" t="e">
        <f t="shared" ca="1" si="12"/>
        <v>#REF!</v>
      </c>
      <c r="AP130" s="174" t="e">
        <f t="shared" ca="1" si="13"/>
        <v>#REF!</v>
      </c>
    </row>
    <row r="131" spans="1:42">
      <c r="A131" s="33" t="str">
        <f t="shared" si="7"/>
        <v/>
      </c>
      <c r="I131" s="33"/>
      <c r="J131" s="173" t="str" cm="1">
        <f t="array" aca="1" ref="J131" ca="1">IFERROR(_xlfn.IFS(OR(AL131&lt;&gt;"",AP131&lt;&gt;""),"STCOアサイン済",OR(AN131&lt;&gt;"",AO131&lt;&gt;""),"CHAT中"),"")</f>
        <v/>
      </c>
      <c r="K131" s="33"/>
      <c r="L131" s="33"/>
      <c r="M131" s="33"/>
      <c r="N131" s="33"/>
      <c r="O131" s="33"/>
      <c r="AK131" s="33">
        <f t="shared" si="8"/>
        <v>0</v>
      </c>
      <c r="AL131" s="33" t="e">
        <f t="shared" ca="1" si="9"/>
        <v>#REF!</v>
      </c>
      <c r="AM131" s="33" t="str">
        <f t="shared" si="10"/>
        <v/>
      </c>
      <c r="AN131" s="33" t="e">
        <f t="shared" ca="1" si="11"/>
        <v>#REF!</v>
      </c>
      <c r="AO131" s="174" t="e">
        <f t="shared" ca="1" si="12"/>
        <v>#REF!</v>
      </c>
      <c r="AP131" s="174" t="e">
        <f t="shared" ca="1" si="13"/>
        <v>#REF!</v>
      </c>
    </row>
    <row r="132" spans="1:42">
      <c r="A132" s="33" t="str">
        <f t="shared" si="7"/>
        <v/>
      </c>
      <c r="I132" s="33"/>
      <c r="J132" s="173" t="str" cm="1">
        <f t="array" aca="1" ref="J132" ca="1">IFERROR(_xlfn.IFS(OR(AL132&lt;&gt;"",AP132&lt;&gt;""),"STCOアサイン済",OR(AN132&lt;&gt;"",AO132&lt;&gt;""),"CHAT中"),"")</f>
        <v/>
      </c>
      <c r="K132" s="33"/>
      <c r="L132" s="33"/>
      <c r="M132" s="33"/>
      <c r="N132" s="33"/>
      <c r="O132" s="33"/>
      <c r="AK132" s="33">
        <f t="shared" si="8"/>
        <v>0</v>
      </c>
      <c r="AL132" s="33" t="e">
        <f t="shared" ca="1" si="9"/>
        <v>#REF!</v>
      </c>
      <c r="AM132" s="33" t="str">
        <f t="shared" si="10"/>
        <v/>
      </c>
      <c r="AN132" s="33" t="e">
        <f t="shared" ca="1" si="11"/>
        <v>#REF!</v>
      </c>
      <c r="AO132" s="174" t="e">
        <f t="shared" ca="1" si="12"/>
        <v>#REF!</v>
      </c>
      <c r="AP132" s="174" t="e">
        <f t="shared" ca="1" si="13"/>
        <v>#REF!</v>
      </c>
    </row>
    <row r="133" spans="1:42">
      <c r="A133" s="33" t="str">
        <f t="shared" si="7"/>
        <v/>
      </c>
      <c r="I133" s="33"/>
      <c r="J133" s="173" t="str" cm="1">
        <f t="array" aca="1" ref="J133" ca="1">IFERROR(_xlfn.IFS(OR(AL133&lt;&gt;"",AP133&lt;&gt;""),"STCOアサイン済",OR(AN133&lt;&gt;"",AO133&lt;&gt;""),"CHAT中"),"")</f>
        <v/>
      </c>
      <c r="K133" s="33"/>
      <c r="L133" s="33"/>
      <c r="M133" s="33"/>
      <c r="N133" s="33"/>
      <c r="O133" s="33"/>
      <c r="AK133" s="33">
        <f t="shared" si="8"/>
        <v>0</v>
      </c>
      <c r="AL133" s="33" t="e">
        <f t="shared" ca="1" si="9"/>
        <v>#REF!</v>
      </c>
      <c r="AM133" s="33" t="str">
        <f t="shared" si="10"/>
        <v/>
      </c>
      <c r="AN133" s="33" t="e">
        <f t="shared" ca="1" si="11"/>
        <v>#REF!</v>
      </c>
      <c r="AO133" s="174" t="e">
        <f t="shared" ca="1" si="12"/>
        <v>#REF!</v>
      </c>
      <c r="AP133" s="174" t="e">
        <f t="shared" ca="1" si="13"/>
        <v>#REF!</v>
      </c>
    </row>
    <row r="134" spans="1:42">
      <c r="A134" s="33" t="str">
        <f t="shared" si="7"/>
        <v/>
      </c>
      <c r="I134" s="33"/>
      <c r="J134" s="173" t="str" cm="1">
        <f t="array" aca="1" ref="J134" ca="1">IFERROR(_xlfn.IFS(OR(AL134&lt;&gt;"",AP134&lt;&gt;""),"STCOアサイン済",OR(AN134&lt;&gt;"",AO134&lt;&gt;""),"CHAT中"),"")</f>
        <v/>
      </c>
      <c r="K134" s="33"/>
      <c r="L134" s="33"/>
      <c r="M134" s="33"/>
      <c r="N134" s="33"/>
      <c r="O134" s="33"/>
      <c r="AK134" s="33">
        <f t="shared" si="8"/>
        <v>0</v>
      </c>
      <c r="AL134" s="33" t="e">
        <f t="shared" ca="1" si="9"/>
        <v>#REF!</v>
      </c>
      <c r="AM134" s="33" t="str">
        <f t="shared" si="10"/>
        <v/>
      </c>
      <c r="AN134" s="33" t="e">
        <f t="shared" ca="1" si="11"/>
        <v>#REF!</v>
      </c>
      <c r="AO134" s="174" t="e">
        <f t="shared" ca="1" si="12"/>
        <v>#REF!</v>
      </c>
      <c r="AP134" s="174" t="e">
        <f t="shared" ca="1" si="13"/>
        <v>#REF!</v>
      </c>
    </row>
    <row r="135" spans="1:42">
      <c r="A135" s="33" t="str">
        <f t="shared" si="7"/>
        <v/>
      </c>
      <c r="I135" s="33"/>
      <c r="J135" s="173" t="str" cm="1">
        <f t="array" aca="1" ref="J135" ca="1">IFERROR(_xlfn.IFS(OR(AL135&lt;&gt;"",AP135&lt;&gt;""),"STCOアサイン済",OR(AN135&lt;&gt;"",AO135&lt;&gt;""),"CHAT中"),"")</f>
        <v/>
      </c>
      <c r="K135" s="33"/>
      <c r="L135" s="33"/>
      <c r="M135" s="33"/>
      <c r="N135" s="33"/>
      <c r="O135" s="33"/>
      <c r="AK135" s="33">
        <f t="shared" si="8"/>
        <v>0</v>
      </c>
      <c r="AL135" s="33" t="e">
        <f t="shared" ca="1" si="9"/>
        <v>#REF!</v>
      </c>
      <c r="AM135" s="33" t="str">
        <f t="shared" si="10"/>
        <v/>
      </c>
      <c r="AN135" s="33" t="e">
        <f t="shared" ca="1" si="11"/>
        <v>#REF!</v>
      </c>
      <c r="AO135" s="174" t="e">
        <f t="shared" ca="1" si="12"/>
        <v>#REF!</v>
      </c>
      <c r="AP135" s="174" t="e">
        <f t="shared" ca="1" si="13"/>
        <v>#REF!</v>
      </c>
    </row>
    <row r="136" spans="1:42">
      <c r="A136" s="33" t="str">
        <f t="shared" ref="A136:A199" si="14">IF(ISBLANK($I136), "", _xlfn.IFS($I136&gt;10, "DS", $I136&lt;=10, "未定"))</f>
        <v/>
      </c>
      <c r="I136" s="33"/>
      <c r="J136" s="173" t="str" cm="1">
        <f t="array" aca="1" ref="J136" ca="1">IFERROR(_xlfn.IFS(OR(AL136&lt;&gt;"",AP136&lt;&gt;""),"STCOアサイン済",OR(AN136&lt;&gt;"",AO136&lt;&gt;""),"CHAT中"),"")</f>
        <v/>
      </c>
      <c r="K136" s="33"/>
      <c r="L136" s="33"/>
      <c r="M136" s="33"/>
      <c r="N136" s="33"/>
      <c r="O136" s="33"/>
      <c r="AK136" s="33">
        <f t="shared" si="8"/>
        <v>0</v>
      </c>
      <c r="AL136" s="33" t="e">
        <f t="shared" ca="1" si="9"/>
        <v>#REF!</v>
      </c>
      <c r="AM136" s="33" t="str">
        <f t="shared" si="10"/>
        <v/>
      </c>
      <c r="AN136" s="33" t="e">
        <f t="shared" ca="1" si="11"/>
        <v>#REF!</v>
      </c>
      <c r="AO136" s="174" t="e">
        <f t="shared" ca="1" si="12"/>
        <v>#REF!</v>
      </c>
      <c r="AP136" s="174" t="e">
        <f t="shared" ca="1" si="13"/>
        <v>#REF!</v>
      </c>
    </row>
    <row r="137" spans="1:42">
      <c r="A137" s="33" t="str">
        <f t="shared" si="14"/>
        <v/>
      </c>
      <c r="I137" s="33"/>
      <c r="J137" s="173" t="str" cm="1">
        <f t="array" aca="1" ref="J137" ca="1">IFERROR(_xlfn.IFS(OR(AL137&lt;&gt;"",AP137&lt;&gt;""),"STCOアサイン済",OR(AN137&lt;&gt;"",AO137&lt;&gt;""),"CHAT中"),"")</f>
        <v/>
      </c>
      <c r="K137" s="33"/>
      <c r="L137" s="33"/>
      <c r="M137" s="33"/>
      <c r="N137" s="33"/>
      <c r="O137" s="33"/>
      <c r="AK137" s="33">
        <f t="shared" ref="AK137:AK200" si="15">C137</f>
        <v>0</v>
      </c>
      <c r="AL137" s="33" t="e">
        <f t="shared" ref="AL137:AL200" ca="1" si="16">IF(SUMIF(INDIRECT($AL$7&amp;"!$AM$5:$AM$800"),C137&amp;$AL$6,INDIRECT($AL$7&amp;"!$AN$5:$AN$800"))&lt;=0,"")</f>
        <v>#REF!</v>
      </c>
      <c r="AM137" s="33" t="str">
        <f t="shared" ref="AM137:AM200" si="17">IF(A137="","",A137)</f>
        <v/>
      </c>
      <c r="AN137" s="33" t="e">
        <f t="shared" ref="AN137:AN200" ca="1" si="18">IF(SUMIF(INDIRECT($AL$7&amp;"!$AM$5:$AM$800"),C137&amp;$AL$6,INDIRECT($AL$7&amp;"!$AO$5:$AO$800"))=0,"")</f>
        <v>#REF!</v>
      </c>
      <c r="AO137" s="174" t="e">
        <f t="shared" ref="AO137:AO200" ca="1" si="19">IF(SUMIF(INDIRECT($AL$7&amp;"!$AR$5:$AR$800"),C137&amp;$AL$6,INDIRECT($AL$7&amp;"!$AO$5:$AO$800"))=0,"")</f>
        <v>#REF!</v>
      </c>
      <c r="AP137" s="174" t="e">
        <f t="shared" ref="AP137:AP200" ca="1" si="20">IF(SUMIF(INDIRECT($AL$7&amp;"!$AR$5:$AR$800"),C137&amp;$AL$6,INDIRECT($AL$7&amp;"!$AN$5:$AN$800"))&lt;=0,"")</f>
        <v>#REF!</v>
      </c>
    </row>
    <row r="138" spans="1:42">
      <c r="A138" s="33" t="str">
        <f t="shared" si="14"/>
        <v/>
      </c>
      <c r="I138" s="33"/>
      <c r="J138" s="173" t="str" cm="1">
        <f t="array" aca="1" ref="J138" ca="1">IFERROR(_xlfn.IFS(OR(AL138&lt;&gt;"",AP138&lt;&gt;""),"STCOアサイン済",OR(AN138&lt;&gt;"",AO138&lt;&gt;""),"CHAT中"),"")</f>
        <v/>
      </c>
      <c r="K138" s="33"/>
      <c r="L138" s="33"/>
      <c r="M138" s="33"/>
      <c r="N138" s="33"/>
      <c r="O138" s="33"/>
      <c r="AK138" s="33">
        <f t="shared" si="15"/>
        <v>0</v>
      </c>
      <c r="AL138" s="33" t="e">
        <f t="shared" ca="1" si="16"/>
        <v>#REF!</v>
      </c>
      <c r="AM138" s="33" t="str">
        <f t="shared" si="17"/>
        <v/>
      </c>
      <c r="AN138" s="33" t="e">
        <f t="shared" ca="1" si="18"/>
        <v>#REF!</v>
      </c>
      <c r="AO138" s="174" t="e">
        <f t="shared" ca="1" si="19"/>
        <v>#REF!</v>
      </c>
      <c r="AP138" s="174" t="e">
        <f t="shared" ca="1" si="20"/>
        <v>#REF!</v>
      </c>
    </row>
    <row r="139" spans="1:42">
      <c r="A139" s="33" t="str">
        <f t="shared" si="14"/>
        <v/>
      </c>
      <c r="I139" s="33"/>
      <c r="J139" s="173" t="str" cm="1">
        <f t="array" aca="1" ref="J139" ca="1">IFERROR(_xlfn.IFS(OR(AL139&lt;&gt;"",AP139&lt;&gt;""),"STCOアサイン済",OR(AN139&lt;&gt;"",AO139&lt;&gt;""),"CHAT中"),"")</f>
        <v/>
      </c>
      <c r="K139" s="33"/>
      <c r="L139" s="33"/>
      <c r="M139" s="33"/>
      <c r="N139" s="33"/>
      <c r="O139" s="33"/>
      <c r="AK139" s="33">
        <f t="shared" si="15"/>
        <v>0</v>
      </c>
      <c r="AL139" s="33" t="e">
        <f t="shared" ca="1" si="16"/>
        <v>#REF!</v>
      </c>
      <c r="AM139" s="33" t="str">
        <f t="shared" si="17"/>
        <v/>
      </c>
      <c r="AN139" s="33" t="e">
        <f t="shared" ca="1" si="18"/>
        <v>#REF!</v>
      </c>
      <c r="AO139" s="174" t="e">
        <f t="shared" ca="1" si="19"/>
        <v>#REF!</v>
      </c>
      <c r="AP139" s="174" t="e">
        <f t="shared" ca="1" si="20"/>
        <v>#REF!</v>
      </c>
    </row>
    <row r="140" spans="1:42">
      <c r="A140" s="33" t="str">
        <f t="shared" si="14"/>
        <v/>
      </c>
      <c r="I140" s="33"/>
      <c r="J140" s="173" t="str" cm="1">
        <f t="array" aca="1" ref="J140" ca="1">IFERROR(_xlfn.IFS(OR(AL140&lt;&gt;"",AP140&lt;&gt;""),"STCOアサイン済",OR(AN140&lt;&gt;"",AO140&lt;&gt;""),"CHAT中"),"")</f>
        <v/>
      </c>
      <c r="K140" s="33"/>
      <c r="L140" s="33"/>
      <c r="M140" s="33"/>
      <c r="N140" s="33"/>
      <c r="O140" s="33"/>
      <c r="AK140" s="33">
        <f t="shared" si="15"/>
        <v>0</v>
      </c>
      <c r="AL140" s="33" t="e">
        <f t="shared" ca="1" si="16"/>
        <v>#REF!</v>
      </c>
      <c r="AM140" s="33" t="str">
        <f t="shared" si="17"/>
        <v/>
      </c>
      <c r="AN140" s="33" t="e">
        <f t="shared" ca="1" si="18"/>
        <v>#REF!</v>
      </c>
      <c r="AO140" s="174" t="e">
        <f t="shared" ca="1" si="19"/>
        <v>#REF!</v>
      </c>
      <c r="AP140" s="174" t="e">
        <f t="shared" ca="1" si="20"/>
        <v>#REF!</v>
      </c>
    </row>
    <row r="141" spans="1:42">
      <c r="A141" s="33" t="str">
        <f t="shared" si="14"/>
        <v/>
      </c>
      <c r="I141" s="33"/>
      <c r="J141" s="173" t="str" cm="1">
        <f t="array" aca="1" ref="J141" ca="1">IFERROR(_xlfn.IFS(OR(AL141&lt;&gt;"",AP141&lt;&gt;""),"STCOアサイン済",OR(AN141&lt;&gt;"",AO141&lt;&gt;""),"CHAT中"),"")</f>
        <v/>
      </c>
      <c r="K141" s="33"/>
      <c r="L141" s="33"/>
      <c r="M141" s="33"/>
      <c r="N141" s="33"/>
      <c r="O141" s="33"/>
      <c r="AK141" s="33">
        <f t="shared" si="15"/>
        <v>0</v>
      </c>
      <c r="AL141" s="33" t="e">
        <f t="shared" ca="1" si="16"/>
        <v>#REF!</v>
      </c>
      <c r="AM141" s="33" t="str">
        <f t="shared" si="17"/>
        <v/>
      </c>
      <c r="AN141" s="33" t="e">
        <f t="shared" ca="1" si="18"/>
        <v>#REF!</v>
      </c>
      <c r="AO141" s="174" t="e">
        <f t="shared" ca="1" si="19"/>
        <v>#REF!</v>
      </c>
      <c r="AP141" s="174" t="e">
        <f t="shared" ca="1" si="20"/>
        <v>#REF!</v>
      </c>
    </row>
    <row r="142" spans="1:42">
      <c r="A142" s="33" t="str">
        <f t="shared" si="14"/>
        <v/>
      </c>
      <c r="I142" s="33"/>
      <c r="J142" s="173" t="str" cm="1">
        <f t="array" aca="1" ref="J142" ca="1">IFERROR(_xlfn.IFS(OR(AL142&lt;&gt;"",AP142&lt;&gt;""),"STCOアサイン済",OR(AN142&lt;&gt;"",AO142&lt;&gt;""),"CHAT中"),"")</f>
        <v/>
      </c>
      <c r="K142" s="33"/>
      <c r="L142" s="33"/>
      <c r="M142" s="33"/>
      <c r="N142" s="33"/>
      <c r="O142" s="33"/>
      <c r="AK142" s="33">
        <f t="shared" si="15"/>
        <v>0</v>
      </c>
      <c r="AL142" s="33" t="e">
        <f t="shared" ca="1" si="16"/>
        <v>#REF!</v>
      </c>
      <c r="AM142" s="33" t="str">
        <f t="shared" si="17"/>
        <v/>
      </c>
      <c r="AN142" s="33" t="e">
        <f t="shared" ca="1" si="18"/>
        <v>#REF!</v>
      </c>
      <c r="AO142" s="174" t="e">
        <f t="shared" ca="1" si="19"/>
        <v>#REF!</v>
      </c>
      <c r="AP142" s="174" t="e">
        <f t="shared" ca="1" si="20"/>
        <v>#REF!</v>
      </c>
    </row>
    <row r="143" spans="1:42">
      <c r="A143" s="33" t="str">
        <f t="shared" si="14"/>
        <v/>
      </c>
      <c r="I143" s="33"/>
      <c r="J143" s="173" t="str" cm="1">
        <f t="array" aca="1" ref="J143" ca="1">IFERROR(_xlfn.IFS(OR(AL143&lt;&gt;"",AP143&lt;&gt;""),"STCOアサイン済",OR(AN143&lt;&gt;"",AO143&lt;&gt;""),"CHAT中"),"")</f>
        <v/>
      </c>
      <c r="K143" s="33"/>
      <c r="L143" s="33"/>
      <c r="M143" s="33"/>
      <c r="N143" s="33"/>
      <c r="O143" s="33"/>
      <c r="AK143" s="33">
        <f t="shared" si="15"/>
        <v>0</v>
      </c>
      <c r="AL143" s="33" t="e">
        <f t="shared" ca="1" si="16"/>
        <v>#REF!</v>
      </c>
      <c r="AM143" s="33" t="str">
        <f t="shared" si="17"/>
        <v/>
      </c>
      <c r="AN143" s="33" t="e">
        <f t="shared" ca="1" si="18"/>
        <v>#REF!</v>
      </c>
      <c r="AO143" s="174" t="e">
        <f t="shared" ca="1" si="19"/>
        <v>#REF!</v>
      </c>
      <c r="AP143" s="174" t="e">
        <f t="shared" ca="1" si="20"/>
        <v>#REF!</v>
      </c>
    </row>
    <row r="144" spans="1:42">
      <c r="A144" s="33" t="str">
        <f t="shared" si="14"/>
        <v/>
      </c>
      <c r="I144" s="33"/>
      <c r="J144" s="173" t="str" cm="1">
        <f t="array" aca="1" ref="J144" ca="1">IFERROR(_xlfn.IFS(OR(AL144&lt;&gt;"",AP144&lt;&gt;""),"STCOアサイン済",OR(AN144&lt;&gt;"",AO144&lt;&gt;""),"CHAT中"),"")</f>
        <v/>
      </c>
      <c r="K144" s="33"/>
      <c r="L144" s="33"/>
      <c r="M144" s="33"/>
      <c r="N144" s="33"/>
      <c r="O144" s="33"/>
      <c r="AK144" s="33">
        <f t="shared" si="15"/>
        <v>0</v>
      </c>
      <c r="AL144" s="33" t="e">
        <f t="shared" ca="1" si="16"/>
        <v>#REF!</v>
      </c>
      <c r="AM144" s="33" t="str">
        <f t="shared" si="17"/>
        <v/>
      </c>
      <c r="AN144" s="33" t="e">
        <f t="shared" ca="1" si="18"/>
        <v>#REF!</v>
      </c>
      <c r="AO144" s="174" t="e">
        <f t="shared" ca="1" si="19"/>
        <v>#REF!</v>
      </c>
      <c r="AP144" s="174" t="e">
        <f t="shared" ca="1" si="20"/>
        <v>#REF!</v>
      </c>
    </row>
    <row r="145" spans="1:42">
      <c r="A145" s="33" t="str">
        <f t="shared" si="14"/>
        <v/>
      </c>
      <c r="I145" s="33"/>
      <c r="J145" s="173" t="str" cm="1">
        <f t="array" aca="1" ref="J145" ca="1">IFERROR(_xlfn.IFS(OR(AL145&lt;&gt;"",AP145&lt;&gt;""),"STCOアサイン済",OR(AN145&lt;&gt;"",AO145&lt;&gt;""),"CHAT中"),"")</f>
        <v/>
      </c>
      <c r="K145" s="33"/>
      <c r="L145" s="33"/>
      <c r="M145" s="33"/>
      <c r="N145" s="33"/>
      <c r="O145" s="33"/>
      <c r="AK145" s="33">
        <f t="shared" si="15"/>
        <v>0</v>
      </c>
      <c r="AL145" s="33" t="e">
        <f t="shared" ca="1" si="16"/>
        <v>#REF!</v>
      </c>
      <c r="AM145" s="33" t="str">
        <f t="shared" si="17"/>
        <v/>
      </c>
      <c r="AN145" s="33" t="e">
        <f t="shared" ca="1" si="18"/>
        <v>#REF!</v>
      </c>
      <c r="AO145" s="174" t="e">
        <f t="shared" ca="1" si="19"/>
        <v>#REF!</v>
      </c>
      <c r="AP145" s="174" t="e">
        <f t="shared" ca="1" si="20"/>
        <v>#REF!</v>
      </c>
    </row>
    <row r="146" spans="1:42">
      <c r="A146" s="33" t="str">
        <f t="shared" si="14"/>
        <v/>
      </c>
      <c r="I146" s="33"/>
      <c r="J146" s="173" t="str" cm="1">
        <f t="array" aca="1" ref="J146" ca="1">IFERROR(_xlfn.IFS(OR(AL146&lt;&gt;"",AP146&lt;&gt;""),"STCOアサイン済",OR(AN146&lt;&gt;"",AO146&lt;&gt;""),"CHAT中"),"")</f>
        <v/>
      </c>
      <c r="K146" s="33"/>
      <c r="L146" s="33"/>
      <c r="M146" s="33"/>
      <c r="N146" s="33"/>
      <c r="O146" s="33"/>
      <c r="AK146" s="33">
        <f t="shared" si="15"/>
        <v>0</v>
      </c>
      <c r="AL146" s="33" t="e">
        <f t="shared" ca="1" si="16"/>
        <v>#REF!</v>
      </c>
      <c r="AM146" s="33" t="str">
        <f t="shared" si="17"/>
        <v/>
      </c>
      <c r="AN146" s="33" t="e">
        <f t="shared" ca="1" si="18"/>
        <v>#REF!</v>
      </c>
      <c r="AO146" s="174" t="e">
        <f t="shared" ca="1" si="19"/>
        <v>#REF!</v>
      </c>
      <c r="AP146" s="174" t="e">
        <f t="shared" ca="1" si="20"/>
        <v>#REF!</v>
      </c>
    </row>
    <row r="147" spans="1:42">
      <c r="A147" s="33" t="str">
        <f t="shared" si="14"/>
        <v/>
      </c>
      <c r="I147" s="33"/>
      <c r="J147" s="173" t="str" cm="1">
        <f t="array" aca="1" ref="J147" ca="1">IFERROR(_xlfn.IFS(OR(AL147&lt;&gt;"",AP147&lt;&gt;""),"STCOアサイン済",OR(AN147&lt;&gt;"",AO147&lt;&gt;""),"CHAT中"),"")</f>
        <v/>
      </c>
      <c r="K147" s="33"/>
      <c r="L147" s="33"/>
      <c r="M147" s="33"/>
      <c r="N147" s="33"/>
      <c r="O147" s="33"/>
      <c r="AK147" s="33">
        <f t="shared" si="15"/>
        <v>0</v>
      </c>
      <c r="AL147" s="33" t="e">
        <f t="shared" ca="1" si="16"/>
        <v>#REF!</v>
      </c>
      <c r="AM147" s="33" t="str">
        <f t="shared" si="17"/>
        <v/>
      </c>
      <c r="AN147" s="33" t="e">
        <f t="shared" ca="1" si="18"/>
        <v>#REF!</v>
      </c>
      <c r="AO147" s="174" t="e">
        <f t="shared" ca="1" si="19"/>
        <v>#REF!</v>
      </c>
      <c r="AP147" s="174" t="e">
        <f t="shared" ca="1" si="20"/>
        <v>#REF!</v>
      </c>
    </row>
    <row r="148" spans="1:42">
      <c r="A148" s="33" t="str">
        <f t="shared" si="14"/>
        <v/>
      </c>
      <c r="I148" s="33"/>
      <c r="J148" s="173" t="str" cm="1">
        <f t="array" aca="1" ref="J148" ca="1">IFERROR(_xlfn.IFS(OR(AL148&lt;&gt;"",AP148&lt;&gt;""),"STCOアサイン済",OR(AN148&lt;&gt;"",AO148&lt;&gt;""),"CHAT中"),"")</f>
        <v/>
      </c>
      <c r="K148" s="33"/>
      <c r="L148" s="33"/>
      <c r="M148" s="33"/>
      <c r="N148" s="33"/>
      <c r="O148" s="33"/>
      <c r="AK148" s="33">
        <f t="shared" si="15"/>
        <v>0</v>
      </c>
      <c r="AL148" s="33" t="e">
        <f t="shared" ca="1" si="16"/>
        <v>#REF!</v>
      </c>
      <c r="AM148" s="33" t="str">
        <f t="shared" si="17"/>
        <v/>
      </c>
      <c r="AN148" s="33" t="e">
        <f t="shared" ca="1" si="18"/>
        <v>#REF!</v>
      </c>
      <c r="AO148" s="174" t="e">
        <f t="shared" ca="1" si="19"/>
        <v>#REF!</v>
      </c>
      <c r="AP148" s="174" t="e">
        <f t="shared" ca="1" si="20"/>
        <v>#REF!</v>
      </c>
    </row>
    <row r="149" spans="1:42">
      <c r="A149" s="33" t="str">
        <f t="shared" si="14"/>
        <v/>
      </c>
      <c r="I149" s="33"/>
      <c r="J149" s="173" t="str" cm="1">
        <f t="array" aca="1" ref="J149" ca="1">IFERROR(_xlfn.IFS(OR(AL149&lt;&gt;"",AP149&lt;&gt;""),"STCOアサイン済",OR(AN149&lt;&gt;"",AO149&lt;&gt;""),"CHAT中"),"")</f>
        <v/>
      </c>
      <c r="K149" s="33"/>
      <c r="L149" s="33"/>
      <c r="M149" s="33"/>
      <c r="N149" s="33"/>
      <c r="O149" s="33"/>
      <c r="AK149" s="33">
        <f t="shared" si="15"/>
        <v>0</v>
      </c>
      <c r="AL149" s="33" t="e">
        <f t="shared" ca="1" si="16"/>
        <v>#REF!</v>
      </c>
      <c r="AM149" s="33" t="str">
        <f t="shared" si="17"/>
        <v/>
      </c>
      <c r="AN149" s="33" t="e">
        <f t="shared" ca="1" si="18"/>
        <v>#REF!</v>
      </c>
      <c r="AO149" s="174" t="e">
        <f t="shared" ca="1" si="19"/>
        <v>#REF!</v>
      </c>
      <c r="AP149" s="174" t="e">
        <f t="shared" ca="1" si="20"/>
        <v>#REF!</v>
      </c>
    </row>
    <row r="150" spans="1:42">
      <c r="A150" s="33" t="str">
        <f t="shared" si="14"/>
        <v/>
      </c>
      <c r="I150" s="33"/>
      <c r="J150" s="173" t="str" cm="1">
        <f t="array" aca="1" ref="J150" ca="1">IFERROR(_xlfn.IFS(OR(AL150&lt;&gt;"",AP150&lt;&gt;""),"STCOアサイン済",OR(AN150&lt;&gt;"",AO150&lt;&gt;""),"CHAT中"),"")</f>
        <v/>
      </c>
      <c r="K150" s="33"/>
      <c r="L150" s="33"/>
      <c r="M150" s="33"/>
      <c r="N150" s="33"/>
      <c r="O150" s="33"/>
      <c r="AK150" s="33">
        <f t="shared" si="15"/>
        <v>0</v>
      </c>
      <c r="AL150" s="33" t="e">
        <f t="shared" ca="1" si="16"/>
        <v>#REF!</v>
      </c>
      <c r="AM150" s="33" t="str">
        <f t="shared" si="17"/>
        <v/>
      </c>
      <c r="AN150" s="33" t="e">
        <f t="shared" ca="1" si="18"/>
        <v>#REF!</v>
      </c>
      <c r="AO150" s="174" t="e">
        <f t="shared" ca="1" si="19"/>
        <v>#REF!</v>
      </c>
      <c r="AP150" s="174" t="e">
        <f t="shared" ca="1" si="20"/>
        <v>#REF!</v>
      </c>
    </row>
    <row r="151" spans="1:42">
      <c r="A151" s="33" t="str">
        <f t="shared" si="14"/>
        <v/>
      </c>
      <c r="I151" s="33"/>
      <c r="J151" s="173" t="str" cm="1">
        <f t="array" aca="1" ref="J151" ca="1">IFERROR(_xlfn.IFS(OR(AL151&lt;&gt;"",AP151&lt;&gt;""),"STCOアサイン済",OR(AN151&lt;&gt;"",AO151&lt;&gt;""),"CHAT中"),"")</f>
        <v/>
      </c>
      <c r="K151" s="33"/>
      <c r="L151" s="33"/>
      <c r="M151" s="33"/>
      <c r="N151" s="33"/>
      <c r="O151" s="33"/>
      <c r="AK151" s="33">
        <f t="shared" si="15"/>
        <v>0</v>
      </c>
      <c r="AL151" s="33" t="e">
        <f t="shared" ca="1" si="16"/>
        <v>#REF!</v>
      </c>
      <c r="AM151" s="33" t="str">
        <f t="shared" si="17"/>
        <v/>
      </c>
      <c r="AN151" s="33" t="e">
        <f t="shared" ca="1" si="18"/>
        <v>#REF!</v>
      </c>
      <c r="AO151" s="174" t="e">
        <f t="shared" ca="1" si="19"/>
        <v>#REF!</v>
      </c>
      <c r="AP151" s="174" t="e">
        <f t="shared" ca="1" si="20"/>
        <v>#REF!</v>
      </c>
    </row>
    <row r="152" spans="1:42">
      <c r="A152" s="33" t="str">
        <f t="shared" si="14"/>
        <v/>
      </c>
      <c r="I152" s="33"/>
      <c r="J152" s="173" t="str" cm="1">
        <f t="array" aca="1" ref="J152" ca="1">IFERROR(_xlfn.IFS(OR(AL152&lt;&gt;"",AP152&lt;&gt;""),"STCOアサイン済",OR(AN152&lt;&gt;"",AO152&lt;&gt;""),"CHAT中"),"")</f>
        <v/>
      </c>
      <c r="K152" s="33"/>
      <c r="L152" s="33"/>
      <c r="M152" s="33"/>
      <c r="N152" s="33"/>
      <c r="O152" s="33"/>
      <c r="AK152" s="33">
        <f t="shared" si="15"/>
        <v>0</v>
      </c>
      <c r="AL152" s="33" t="e">
        <f t="shared" ca="1" si="16"/>
        <v>#REF!</v>
      </c>
      <c r="AM152" s="33" t="str">
        <f t="shared" si="17"/>
        <v/>
      </c>
      <c r="AN152" s="33" t="e">
        <f t="shared" ca="1" si="18"/>
        <v>#REF!</v>
      </c>
      <c r="AO152" s="174" t="e">
        <f t="shared" ca="1" si="19"/>
        <v>#REF!</v>
      </c>
      <c r="AP152" s="174" t="e">
        <f t="shared" ca="1" si="20"/>
        <v>#REF!</v>
      </c>
    </row>
    <row r="153" spans="1:42">
      <c r="A153" s="33" t="str">
        <f t="shared" si="14"/>
        <v/>
      </c>
      <c r="I153" s="33"/>
      <c r="J153" s="173" t="str" cm="1">
        <f t="array" aca="1" ref="J153" ca="1">IFERROR(_xlfn.IFS(OR(AL153&lt;&gt;"",AP153&lt;&gt;""),"STCOアサイン済",OR(AN153&lt;&gt;"",AO153&lt;&gt;""),"CHAT中"),"")</f>
        <v/>
      </c>
      <c r="K153" s="33"/>
      <c r="L153" s="33"/>
      <c r="M153" s="33"/>
      <c r="N153" s="33"/>
      <c r="O153" s="33"/>
      <c r="AK153" s="33">
        <f t="shared" si="15"/>
        <v>0</v>
      </c>
      <c r="AL153" s="33" t="e">
        <f t="shared" ca="1" si="16"/>
        <v>#REF!</v>
      </c>
      <c r="AM153" s="33" t="str">
        <f t="shared" si="17"/>
        <v/>
      </c>
      <c r="AN153" s="33" t="e">
        <f t="shared" ca="1" si="18"/>
        <v>#REF!</v>
      </c>
      <c r="AO153" s="174" t="e">
        <f t="shared" ca="1" si="19"/>
        <v>#REF!</v>
      </c>
      <c r="AP153" s="174" t="e">
        <f t="shared" ca="1" si="20"/>
        <v>#REF!</v>
      </c>
    </row>
    <row r="154" spans="1:42">
      <c r="A154" s="33" t="str">
        <f t="shared" si="14"/>
        <v/>
      </c>
      <c r="I154" s="33"/>
      <c r="J154" s="173" t="str" cm="1">
        <f t="array" aca="1" ref="J154" ca="1">IFERROR(_xlfn.IFS(OR(AL154&lt;&gt;"",AP154&lt;&gt;""),"STCOアサイン済",OR(AN154&lt;&gt;"",AO154&lt;&gt;""),"CHAT中"),"")</f>
        <v/>
      </c>
      <c r="K154" s="33"/>
      <c r="L154" s="33"/>
      <c r="M154" s="33"/>
      <c r="N154" s="33"/>
      <c r="O154" s="33"/>
      <c r="AK154" s="33">
        <f t="shared" si="15"/>
        <v>0</v>
      </c>
      <c r="AL154" s="33" t="e">
        <f t="shared" ca="1" si="16"/>
        <v>#REF!</v>
      </c>
      <c r="AM154" s="33" t="str">
        <f t="shared" si="17"/>
        <v/>
      </c>
      <c r="AN154" s="33" t="e">
        <f t="shared" ca="1" si="18"/>
        <v>#REF!</v>
      </c>
      <c r="AO154" s="174" t="e">
        <f t="shared" ca="1" si="19"/>
        <v>#REF!</v>
      </c>
      <c r="AP154" s="174" t="e">
        <f t="shared" ca="1" si="20"/>
        <v>#REF!</v>
      </c>
    </row>
    <row r="155" spans="1:42">
      <c r="A155" s="33" t="str">
        <f t="shared" si="14"/>
        <v/>
      </c>
      <c r="I155" s="33"/>
      <c r="J155" s="173" t="str" cm="1">
        <f t="array" aca="1" ref="J155" ca="1">IFERROR(_xlfn.IFS(OR(AL155&lt;&gt;"",AP155&lt;&gt;""),"STCOアサイン済",OR(AN155&lt;&gt;"",AO155&lt;&gt;""),"CHAT中"),"")</f>
        <v/>
      </c>
      <c r="K155" s="33"/>
      <c r="L155" s="33"/>
      <c r="M155" s="33"/>
      <c r="N155" s="33"/>
      <c r="O155" s="33"/>
      <c r="AK155" s="33">
        <f t="shared" si="15"/>
        <v>0</v>
      </c>
      <c r="AL155" s="33" t="e">
        <f t="shared" ca="1" si="16"/>
        <v>#REF!</v>
      </c>
      <c r="AM155" s="33" t="str">
        <f t="shared" si="17"/>
        <v/>
      </c>
      <c r="AN155" s="33" t="e">
        <f t="shared" ca="1" si="18"/>
        <v>#REF!</v>
      </c>
      <c r="AO155" s="174" t="e">
        <f t="shared" ca="1" si="19"/>
        <v>#REF!</v>
      </c>
      <c r="AP155" s="174" t="e">
        <f t="shared" ca="1" si="20"/>
        <v>#REF!</v>
      </c>
    </row>
    <row r="156" spans="1:42">
      <c r="A156" s="33" t="str">
        <f t="shared" si="14"/>
        <v/>
      </c>
      <c r="I156" s="33"/>
      <c r="J156" s="173" t="str" cm="1">
        <f t="array" aca="1" ref="J156" ca="1">IFERROR(_xlfn.IFS(OR(AL156&lt;&gt;"",AP156&lt;&gt;""),"STCOアサイン済",OR(AN156&lt;&gt;"",AO156&lt;&gt;""),"CHAT中"),"")</f>
        <v/>
      </c>
      <c r="K156" s="33"/>
      <c r="L156" s="33"/>
      <c r="M156" s="33"/>
      <c r="N156" s="33"/>
      <c r="O156" s="33"/>
      <c r="AK156" s="33">
        <f t="shared" si="15"/>
        <v>0</v>
      </c>
      <c r="AL156" s="33" t="e">
        <f t="shared" ca="1" si="16"/>
        <v>#REF!</v>
      </c>
      <c r="AM156" s="33" t="str">
        <f t="shared" si="17"/>
        <v/>
      </c>
      <c r="AN156" s="33" t="e">
        <f t="shared" ca="1" si="18"/>
        <v>#REF!</v>
      </c>
      <c r="AO156" s="174" t="e">
        <f t="shared" ca="1" si="19"/>
        <v>#REF!</v>
      </c>
      <c r="AP156" s="174" t="e">
        <f t="shared" ca="1" si="20"/>
        <v>#REF!</v>
      </c>
    </row>
    <row r="157" spans="1:42">
      <c r="A157" s="33" t="str">
        <f t="shared" si="14"/>
        <v/>
      </c>
      <c r="I157" s="33"/>
      <c r="J157" s="173" t="str" cm="1">
        <f t="array" aca="1" ref="J157" ca="1">IFERROR(_xlfn.IFS(OR(AL157&lt;&gt;"",AP157&lt;&gt;""),"STCOアサイン済",OR(AN157&lt;&gt;"",AO157&lt;&gt;""),"CHAT中"),"")</f>
        <v/>
      </c>
      <c r="K157" s="33"/>
      <c r="L157" s="33"/>
      <c r="M157" s="33"/>
      <c r="N157" s="33"/>
      <c r="O157" s="33"/>
      <c r="AK157" s="33">
        <f t="shared" si="15"/>
        <v>0</v>
      </c>
      <c r="AL157" s="33" t="e">
        <f t="shared" ca="1" si="16"/>
        <v>#REF!</v>
      </c>
      <c r="AM157" s="33" t="str">
        <f t="shared" si="17"/>
        <v/>
      </c>
      <c r="AN157" s="33" t="e">
        <f t="shared" ca="1" si="18"/>
        <v>#REF!</v>
      </c>
      <c r="AO157" s="174" t="e">
        <f t="shared" ca="1" si="19"/>
        <v>#REF!</v>
      </c>
      <c r="AP157" s="174" t="e">
        <f t="shared" ca="1" si="20"/>
        <v>#REF!</v>
      </c>
    </row>
    <row r="158" spans="1:42">
      <c r="A158" s="33" t="str">
        <f t="shared" si="14"/>
        <v/>
      </c>
      <c r="I158" s="33"/>
      <c r="J158" s="173" t="str" cm="1">
        <f t="array" aca="1" ref="J158" ca="1">IFERROR(_xlfn.IFS(OR(AL158&lt;&gt;"",AP158&lt;&gt;""),"STCOアサイン済",OR(AN158&lt;&gt;"",AO158&lt;&gt;""),"CHAT中"),"")</f>
        <v/>
      </c>
      <c r="K158" s="33"/>
      <c r="L158" s="33"/>
      <c r="M158" s="33"/>
      <c r="N158" s="33"/>
      <c r="O158" s="33"/>
      <c r="AK158" s="33">
        <f t="shared" si="15"/>
        <v>0</v>
      </c>
      <c r="AL158" s="33" t="e">
        <f t="shared" ca="1" si="16"/>
        <v>#REF!</v>
      </c>
      <c r="AM158" s="33" t="str">
        <f t="shared" si="17"/>
        <v/>
      </c>
      <c r="AN158" s="33" t="e">
        <f t="shared" ca="1" si="18"/>
        <v>#REF!</v>
      </c>
      <c r="AO158" s="174" t="e">
        <f t="shared" ca="1" si="19"/>
        <v>#REF!</v>
      </c>
      <c r="AP158" s="174" t="e">
        <f t="shared" ca="1" si="20"/>
        <v>#REF!</v>
      </c>
    </row>
    <row r="159" spans="1:42">
      <c r="A159" s="33" t="str">
        <f t="shared" si="14"/>
        <v/>
      </c>
      <c r="I159" s="33"/>
      <c r="J159" s="173" t="str" cm="1">
        <f t="array" aca="1" ref="J159" ca="1">IFERROR(_xlfn.IFS(OR(AL159&lt;&gt;"",AP159&lt;&gt;""),"STCOアサイン済",OR(AN159&lt;&gt;"",AO159&lt;&gt;""),"CHAT中"),"")</f>
        <v/>
      </c>
      <c r="K159" s="33"/>
      <c r="L159" s="33"/>
      <c r="M159" s="33"/>
      <c r="N159" s="33"/>
      <c r="O159" s="33"/>
      <c r="AK159" s="33">
        <f t="shared" si="15"/>
        <v>0</v>
      </c>
      <c r="AL159" s="33" t="e">
        <f t="shared" ca="1" si="16"/>
        <v>#REF!</v>
      </c>
      <c r="AM159" s="33" t="str">
        <f t="shared" si="17"/>
        <v/>
      </c>
      <c r="AN159" s="33" t="e">
        <f t="shared" ca="1" si="18"/>
        <v>#REF!</v>
      </c>
      <c r="AO159" s="174" t="e">
        <f t="shared" ca="1" si="19"/>
        <v>#REF!</v>
      </c>
      <c r="AP159" s="174" t="e">
        <f t="shared" ca="1" si="20"/>
        <v>#REF!</v>
      </c>
    </row>
    <row r="160" spans="1:42">
      <c r="A160" s="33" t="str">
        <f t="shared" si="14"/>
        <v/>
      </c>
      <c r="I160" s="33"/>
      <c r="J160" s="173" t="str" cm="1">
        <f t="array" aca="1" ref="J160" ca="1">IFERROR(_xlfn.IFS(OR(AL160&lt;&gt;"",AP160&lt;&gt;""),"STCOアサイン済",OR(AN160&lt;&gt;"",AO160&lt;&gt;""),"CHAT中"),"")</f>
        <v/>
      </c>
      <c r="K160" s="33"/>
      <c r="L160" s="33"/>
      <c r="M160" s="33"/>
      <c r="N160" s="33"/>
      <c r="O160" s="33"/>
      <c r="AK160" s="33">
        <f t="shared" si="15"/>
        <v>0</v>
      </c>
      <c r="AL160" s="33" t="e">
        <f t="shared" ca="1" si="16"/>
        <v>#REF!</v>
      </c>
      <c r="AM160" s="33" t="str">
        <f t="shared" si="17"/>
        <v/>
      </c>
      <c r="AN160" s="33" t="e">
        <f t="shared" ca="1" si="18"/>
        <v>#REF!</v>
      </c>
      <c r="AO160" s="174" t="e">
        <f t="shared" ca="1" si="19"/>
        <v>#REF!</v>
      </c>
      <c r="AP160" s="174" t="e">
        <f t="shared" ca="1" si="20"/>
        <v>#REF!</v>
      </c>
    </row>
    <row r="161" spans="1:42">
      <c r="A161" s="33" t="str">
        <f t="shared" si="14"/>
        <v/>
      </c>
      <c r="I161" s="33"/>
      <c r="J161" s="173" t="str" cm="1">
        <f t="array" aca="1" ref="J161" ca="1">IFERROR(_xlfn.IFS(OR(AL161&lt;&gt;"",AP161&lt;&gt;""),"STCOアサイン済",OR(AN161&lt;&gt;"",AO161&lt;&gt;""),"CHAT中"),"")</f>
        <v/>
      </c>
      <c r="K161" s="33"/>
      <c r="L161" s="33"/>
      <c r="M161" s="33"/>
      <c r="N161" s="33"/>
      <c r="O161" s="33"/>
      <c r="AK161" s="33">
        <f t="shared" si="15"/>
        <v>0</v>
      </c>
      <c r="AL161" s="33" t="e">
        <f t="shared" ca="1" si="16"/>
        <v>#REF!</v>
      </c>
      <c r="AM161" s="33" t="str">
        <f t="shared" si="17"/>
        <v/>
      </c>
      <c r="AN161" s="33" t="e">
        <f t="shared" ca="1" si="18"/>
        <v>#REF!</v>
      </c>
      <c r="AO161" s="174" t="e">
        <f t="shared" ca="1" si="19"/>
        <v>#REF!</v>
      </c>
      <c r="AP161" s="174" t="e">
        <f t="shared" ca="1" si="20"/>
        <v>#REF!</v>
      </c>
    </row>
    <row r="162" spans="1:42">
      <c r="A162" s="33" t="str">
        <f t="shared" si="14"/>
        <v/>
      </c>
      <c r="I162" s="33"/>
      <c r="J162" s="173" t="str" cm="1">
        <f t="array" aca="1" ref="J162" ca="1">IFERROR(_xlfn.IFS(OR(AL162&lt;&gt;"",AP162&lt;&gt;""),"STCOアサイン済",OR(AN162&lt;&gt;"",AO162&lt;&gt;""),"CHAT中"),"")</f>
        <v/>
      </c>
      <c r="K162" s="33"/>
      <c r="L162" s="33"/>
      <c r="M162" s="33"/>
      <c r="N162" s="33"/>
      <c r="O162" s="33"/>
      <c r="AK162" s="33">
        <f t="shared" si="15"/>
        <v>0</v>
      </c>
      <c r="AL162" s="33" t="e">
        <f t="shared" ca="1" si="16"/>
        <v>#REF!</v>
      </c>
      <c r="AM162" s="33" t="str">
        <f t="shared" si="17"/>
        <v/>
      </c>
      <c r="AN162" s="33" t="e">
        <f t="shared" ca="1" si="18"/>
        <v>#REF!</v>
      </c>
      <c r="AO162" s="174" t="e">
        <f t="shared" ca="1" si="19"/>
        <v>#REF!</v>
      </c>
      <c r="AP162" s="174" t="e">
        <f t="shared" ca="1" si="20"/>
        <v>#REF!</v>
      </c>
    </row>
    <row r="163" spans="1:42">
      <c r="A163" s="33" t="str">
        <f t="shared" si="14"/>
        <v/>
      </c>
      <c r="I163" s="33"/>
      <c r="J163" s="173" t="str" cm="1">
        <f t="array" aca="1" ref="J163" ca="1">IFERROR(_xlfn.IFS(OR(AL163&lt;&gt;"",AP163&lt;&gt;""),"STCOアサイン済",OR(AN163&lt;&gt;"",AO163&lt;&gt;""),"CHAT中"),"")</f>
        <v/>
      </c>
      <c r="K163" s="33"/>
      <c r="L163" s="33"/>
      <c r="M163" s="33"/>
      <c r="N163" s="33"/>
      <c r="O163" s="33"/>
      <c r="AK163" s="33">
        <f t="shared" si="15"/>
        <v>0</v>
      </c>
      <c r="AL163" s="33" t="e">
        <f t="shared" ca="1" si="16"/>
        <v>#REF!</v>
      </c>
      <c r="AM163" s="33" t="str">
        <f t="shared" si="17"/>
        <v/>
      </c>
      <c r="AN163" s="33" t="e">
        <f t="shared" ca="1" si="18"/>
        <v>#REF!</v>
      </c>
      <c r="AO163" s="174" t="e">
        <f t="shared" ca="1" si="19"/>
        <v>#REF!</v>
      </c>
      <c r="AP163" s="174" t="e">
        <f t="shared" ca="1" si="20"/>
        <v>#REF!</v>
      </c>
    </row>
    <row r="164" spans="1:42">
      <c r="A164" s="33" t="str">
        <f t="shared" si="14"/>
        <v/>
      </c>
      <c r="I164" s="33"/>
      <c r="J164" s="173" t="str" cm="1">
        <f t="array" aca="1" ref="J164" ca="1">IFERROR(_xlfn.IFS(OR(AL164&lt;&gt;"",AP164&lt;&gt;""),"STCOアサイン済",OR(AN164&lt;&gt;"",AO164&lt;&gt;""),"CHAT中"),"")</f>
        <v/>
      </c>
      <c r="K164" s="33"/>
      <c r="L164" s="33"/>
      <c r="M164" s="33"/>
      <c r="N164" s="33"/>
      <c r="O164" s="33"/>
      <c r="AK164" s="33">
        <f t="shared" si="15"/>
        <v>0</v>
      </c>
      <c r="AL164" s="33" t="e">
        <f t="shared" ca="1" si="16"/>
        <v>#REF!</v>
      </c>
      <c r="AM164" s="33" t="str">
        <f t="shared" si="17"/>
        <v/>
      </c>
      <c r="AN164" s="33" t="e">
        <f t="shared" ca="1" si="18"/>
        <v>#REF!</v>
      </c>
      <c r="AO164" s="174" t="e">
        <f t="shared" ca="1" si="19"/>
        <v>#REF!</v>
      </c>
      <c r="AP164" s="174" t="e">
        <f t="shared" ca="1" si="20"/>
        <v>#REF!</v>
      </c>
    </row>
    <row r="165" spans="1:42">
      <c r="A165" s="33" t="str">
        <f t="shared" si="14"/>
        <v/>
      </c>
      <c r="I165" s="33"/>
      <c r="J165" s="173" t="str" cm="1">
        <f t="array" aca="1" ref="J165" ca="1">IFERROR(_xlfn.IFS(OR(AL165&lt;&gt;"",AP165&lt;&gt;""),"STCOアサイン済",OR(AN165&lt;&gt;"",AO165&lt;&gt;""),"CHAT中"),"")</f>
        <v/>
      </c>
      <c r="K165" s="33"/>
      <c r="L165" s="33"/>
      <c r="M165" s="33"/>
      <c r="N165" s="33"/>
      <c r="O165" s="33"/>
      <c r="AK165" s="33">
        <f t="shared" si="15"/>
        <v>0</v>
      </c>
      <c r="AL165" s="33" t="e">
        <f t="shared" ca="1" si="16"/>
        <v>#REF!</v>
      </c>
      <c r="AM165" s="33" t="str">
        <f t="shared" si="17"/>
        <v/>
      </c>
      <c r="AN165" s="33" t="e">
        <f t="shared" ca="1" si="18"/>
        <v>#REF!</v>
      </c>
      <c r="AO165" s="174" t="e">
        <f t="shared" ca="1" si="19"/>
        <v>#REF!</v>
      </c>
      <c r="AP165" s="174" t="e">
        <f t="shared" ca="1" si="20"/>
        <v>#REF!</v>
      </c>
    </row>
    <row r="166" spans="1:42">
      <c r="A166" s="33" t="str">
        <f t="shared" si="14"/>
        <v/>
      </c>
      <c r="I166" s="33"/>
      <c r="J166" s="173" t="str" cm="1">
        <f t="array" aca="1" ref="J166" ca="1">IFERROR(_xlfn.IFS(OR(AL166&lt;&gt;"",AP166&lt;&gt;""),"STCOアサイン済",OR(AN166&lt;&gt;"",AO166&lt;&gt;""),"CHAT中"),"")</f>
        <v/>
      </c>
      <c r="K166" s="33"/>
      <c r="L166" s="33"/>
      <c r="M166" s="33"/>
      <c r="N166" s="33"/>
      <c r="O166" s="33"/>
      <c r="AK166" s="33">
        <f t="shared" si="15"/>
        <v>0</v>
      </c>
      <c r="AL166" s="33" t="e">
        <f t="shared" ca="1" si="16"/>
        <v>#REF!</v>
      </c>
      <c r="AM166" s="33" t="str">
        <f t="shared" si="17"/>
        <v/>
      </c>
      <c r="AN166" s="33" t="e">
        <f t="shared" ca="1" si="18"/>
        <v>#REF!</v>
      </c>
      <c r="AO166" s="174" t="e">
        <f t="shared" ca="1" si="19"/>
        <v>#REF!</v>
      </c>
      <c r="AP166" s="174" t="e">
        <f t="shared" ca="1" si="20"/>
        <v>#REF!</v>
      </c>
    </row>
    <row r="167" spans="1:42">
      <c r="A167" s="33" t="str">
        <f t="shared" si="14"/>
        <v/>
      </c>
      <c r="I167" s="33"/>
      <c r="J167" s="173" t="str" cm="1">
        <f t="array" aca="1" ref="J167" ca="1">IFERROR(_xlfn.IFS(OR(AL167&lt;&gt;"",AP167&lt;&gt;""),"STCOアサイン済",OR(AN167&lt;&gt;"",AO167&lt;&gt;""),"CHAT中"),"")</f>
        <v/>
      </c>
      <c r="K167" s="33"/>
      <c r="L167" s="33"/>
      <c r="M167" s="33"/>
      <c r="N167" s="33"/>
      <c r="O167" s="33"/>
      <c r="AK167" s="33">
        <f t="shared" si="15"/>
        <v>0</v>
      </c>
      <c r="AL167" s="33" t="e">
        <f t="shared" ca="1" si="16"/>
        <v>#REF!</v>
      </c>
      <c r="AM167" s="33" t="str">
        <f t="shared" si="17"/>
        <v/>
      </c>
      <c r="AN167" s="33" t="e">
        <f t="shared" ca="1" si="18"/>
        <v>#REF!</v>
      </c>
      <c r="AO167" s="174" t="e">
        <f t="shared" ca="1" si="19"/>
        <v>#REF!</v>
      </c>
      <c r="AP167" s="174" t="e">
        <f t="shared" ca="1" si="20"/>
        <v>#REF!</v>
      </c>
    </row>
    <row r="168" spans="1:42">
      <c r="A168" s="33" t="str">
        <f t="shared" si="14"/>
        <v/>
      </c>
      <c r="I168" s="33"/>
      <c r="J168" s="173" t="str" cm="1">
        <f t="array" aca="1" ref="J168" ca="1">IFERROR(_xlfn.IFS(OR(AL168&lt;&gt;"",AP168&lt;&gt;""),"STCOアサイン済",OR(AN168&lt;&gt;"",AO168&lt;&gt;""),"CHAT中"),"")</f>
        <v/>
      </c>
      <c r="K168" s="33"/>
      <c r="L168" s="33"/>
      <c r="M168" s="33"/>
      <c r="N168" s="33"/>
      <c r="O168" s="33"/>
      <c r="AK168" s="33">
        <f t="shared" si="15"/>
        <v>0</v>
      </c>
      <c r="AL168" s="33" t="e">
        <f t="shared" ca="1" si="16"/>
        <v>#REF!</v>
      </c>
      <c r="AM168" s="33" t="str">
        <f t="shared" si="17"/>
        <v/>
      </c>
      <c r="AN168" s="33" t="e">
        <f t="shared" ca="1" si="18"/>
        <v>#REF!</v>
      </c>
      <c r="AO168" s="174" t="e">
        <f t="shared" ca="1" si="19"/>
        <v>#REF!</v>
      </c>
      <c r="AP168" s="174" t="e">
        <f t="shared" ca="1" si="20"/>
        <v>#REF!</v>
      </c>
    </row>
    <row r="169" spans="1:42">
      <c r="A169" s="33" t="str">
        <f t="shared" si="14"/>
        <v/>
      </c>
      <c r="I169" s="33"/>
      <c r="J169" s="173" t="str" cm="1">
        <f t="array" aca="1" ref="J169" ca="1">IFERROR(_xlfn.IFS(OR(AL169&lt;&gt;"",AP169&lt;&gt;""),"STCOアサイン済",OR(AN169&lt;&gt;"",AO169&lt;&gt;""),"CHAT中"),"")</f>
        <v/>
      </c>
      <c r="K169" s="33"/>
      <c r="L169" s="33"/>
      <c r="M169" s="33"/>
      <c r="N169" s="33"/>
      <c r="O169" s="33"/>
      <c r="AK169" s="33">
        <f t="shared" si="15"/>
        <v>0</v>
      </c>
      <c r="AL169" s="33" t="e">
        <f t="shared" ca="1" si="16"/>
        <v>#REF!</v>
      </c>
      <c r="AM169" s="33" t="str">
        <f t="shared" si="17"/>
        <v/>
      </c>
      <c r="AN169" s="33" t="e">
        <f t="shared" ca="1" si="18"/>
        <v>#REF!</v>
      </c>
      <c r="AO169" s="174" t="e">
        <f t="shared" ca="1" si="19"/>
        <v>#REF!</v>
      </c>
      <c r="AP169" s="174" t="e">
        <f t="shared" ca="1" si="20"/>
        <v>#REF!</v>
      </c>
    </row>
    <row r="170" spans="1:42">
      <c r="A170" s="33" t="str">
        <f t="shared" si="14"/>
        <v/>
      </c>
      <c r="I170" s="33"/>
      <c r="J170" s="173" t="str" cm="1">
        <f t="array" aca="1" ref="J170" ca="1">IFERROR(_xlfn.IFS(OR(AL170&lt;&gt;"",AP170&lt;&gt;""),"STCOアサイン済",OR(AN170&lt;&gt;"",AO170&lt;&gt;""),"CHAT中"),"")</f>
        <v/>
      </c>
      <c r="K170" s="33"/>
      <c r="L170" s="33"/>
      <c r="M170" s="33"/>
      <c r="N170" s="33"/>
      <c r="O170" s="33"/>
      <c r="AK170" s="33">
        <f t="shared" si="15"/>
        <v>0</v>
      </c>
      <c r="AL170" s="33" t="e">
        <f t="shared" ca="1" si="16"/>
        <v>#REF!</v>
      </c>
      <c r="AM170" s="33" t="str">
        <f t="shared" si="17"/>
        <v/>
      </c>
      <c r="AN170" s="33" t="e">
        <f t="shared" ca="1" si="18"/>
        <v>#REF!</v>
      </c>
      <c r="AO170" s="174" t="e">
        <f t="shared" ca="1" si="19"/>
        <v>#REF!</v>
      </c>
      <c r="AP170" s="174" t="e">
        <f t="shared" ca="1" si="20"/>
        <v>#REF!</v>
      </c>
    </row>
    <row r="171" spans="1:42">
      <c r="A171" s="33" t="str">
        <f t="shared" si="14"/>
        <v/>
      </c>
      <c r="I171" s="33"/>
      <c r="J171" s="173" t="str" cm="1">
        <f t="array" aca="1" ref="J171" ca="1">IFERROR(_xlfn.IFS(OR(AL171&lt;&gt;"",AP171&lt;&gt;""),"STCOアサイン済",OR(AN171&lt;&gt;"",AO171&lt;&gt;""),"CHAT中"),"")</f>
        <v/>
      </c>
      <c r="K171" s="33"/>
      <c r="L171" s="33"/>
      <c r="M171" s="33"/>
      <c r="N171" s="33"/>
      <c r="O171" s="33"/>
      <c r="AK171" s="33">
        <f t="shared" si="15"/>
        <v>0</v>
      </c>
      <c r="AL171" s="33" t="e">
        <f t="shared" ca="1" si="16"/>
        <v>#REF!</v>
      </c>
      <c r="AM171" s="33" t="str">
        <f t="shared" si="17"/>
        <v/>
      </c>
      <c r="AN171" s="33" t="e">
        <f t="shared" ca="1" si="18"/>
        <v>#REF!</v>
      </c>
      <c r="AO171" s="174" t="e">
        <f t="shared" ca="1" si="19"/>
        <v>#REF!</v>
      </c>
      <c r="AP171" s="174" t="e">
        <f t="shared" ca="1" si="20"/>
        <v>#REF!</v>
      </c>
    </row>
    <row r="172" spans="1:42">
      <c r="A172" s="33" t="str">
        <f t="shared" si="14"/>
        <v/>
      </c>
      <c r="I172" s="33"/>
      <c r="J172" s="173" t="str" cm="1">
        <f t="array" aca="1" ref="J172" ca="1">IFERROR(_xlfn.IFS(OR(AL172&lt;&gt;"",AP172&lt;&gt;""),"STCOアサイン済",OR(AN172&lt;&gt;"",AO172&lt;&gt;""),"CHAT中"),"")</f>
        <v/>
      </c>
      <c r="K172" s="33"/>
      <c r="L172" s="33"/>
      <c r="M172" s="33"/>
      <c r="N172" s="33"/>
      <c r="O172" s="33"/>
      <c r="AK172" s="33">
        <f t="shared" si="15"/>
        <v>0</v>
      </c>
      <c r="AL172" s="33" t="e">
        <f t="shared" ca="1" si="16"/>
        <v>#REF!</v>
      </c>
      <c r="AM172" s="33" t="str">
        <f t="shared" si="17"/>
        <v/>
      </c>
      <c r="AN172" s="33" t="e">
        <f t="shared" ca="1" si="18"/>
        <v>#REF!</v>
      </c>
      <c r="AO172" s="174" t="e">
        <f t="shared" ca="1" si="19"/>
        <v>#REF!</v>
      </c>
      <c r="AP172" s="174" t="e">
        <f t="shared" ca="1" si="20"/>
        <v>#REF!</v>
      </c>
    </row>
    <row r="173" spans="1:42">
      <c r="A173" s="33" t="str">
        <f t="shared" si="14"/>
        <v/>
      </c>
      <c r="I173" s="33"/>
      <c r="J173" s="173" t="str" cm="1">
        <f t="array" aca="1" ref="J173" ca="1">IFERROR(_xlfn.IFS(OR(AL173&lt;&gt;"",AP173&lt;&gt;""),"STCOアサイン済",OR(AN173&lt;&gt;"",AO173&lt;&gt;""),"CHAT中"),"")</f>
        <v/>
      </c>
      <c r="K173" s="33"/>
      <c r="L173" s="33"/>
      <c r="M173" s="33"/>
      <c r="N173" s="33"/>
      <c r="O173" s="33"/>
      <c r="AK173" s="33">
        <f t="shared" si="15"/>
        <v>0</v>
      </c>
      <c r="AL173" s="33" t="e">
        <f t="shared" ca="1" si="16"/>
        <v>#REF!</v>
      </c>
      <c r="AM173" s="33" t="str">
        <f t="shared" si="17"/>
        <v/>
      </c>
      <c r="AN173" s="33" t="e">
        <f t="shared" ca="1" si="18"/>
        <v>#REF!</v>
      </c>
      <c r="AO173" s="174" t="e">
        <f t="shared" ca="1" si="19"/>
        <v>#REF!</v>
      </c>
      <c r="AP173" s="174" t="e">
        <f t="shared" ca="1" si="20"/>
        <v>#REF!</v>
      </c>
    </row>
    <row r="174" spans="1:42">
      <c r="A174" s="33" t="str">
        <f t="shared" si="14"/>
        <v/>
      </c>
      <c r="I174" s="33"/>
      <c r="J174" s="173" t="str" cm="1">
        <f t="array" aca="1" ref="J174" ca="1">IFERROR(_xlfn.IFS(OR(AL174&lt;&gt;"",AP174&lt;&gt;""),"STCOアサイン済",OR(AN174&lt;&gt;"",AO174&lt;&gt;""),"CHAT中"),"")</f>
        <v/>
      </c>
      <c r="K174" s="33"/>
      <c r="L174" s="33"/>
      <c r="M174" s="33"/>
      <c r="N174" s="33"/>
      <c r="O174" s="33"/>
      <c r="AK174" s="33">
        <f t="shared" si="15"/>
        <v>0</v>
      </c>
      <c r="AL174" s="33" t="e">
        <f t="shared" ca="1" si="16"/>
        <v>#REF!</v>
      </c>
      <c r="AM174" s="33" t="str">
        <f t="shared" si="17"/>
        <v/>
      </c>
      <c r="AN174" s="33" t="e">
        <f t="shared" ca="1" si="18"/>
        <v>#REF!</v>
      </c>
      <c r="AO174" s="174" t="e">
        <f t="shared" ca="1" si="19"/>
        <v>#REF!</v>
      </c>
      <c r="AP174" s="174" t="e">
        <f t="shared" ca="1" si="20"/>
        <v>#REF!</v>
      </c>
    </row>
    <row r="175" spans="1:42">
      <c r="A175" s="33" t="str">
        <f t="shared" si="14"/>
        <v/>
      </c>
      <c r="I175" s="33"/>
      <c r="J175" s="173" t="str" cm="1">
        <f t="array" aca="1" ref="J175" ca="1">IFERROR(_xlfn.IFS(OR(AL175&lt;&gt;"",AP175&lt;&gt;""),"STCOアサイン済",OR(AN175&lt;&gt;"",AO175&lt;&gt;""),"CHAT中"),"")</f>
        <v/>
      </c>
      <c r="K175" s="33"/>
      <c r="L175" s="33"/>
      <c r="M175" s="33"/>
      <c r="N175" s="33"/>
      <c r="O175" s="33"/>
      <c r="AK175" s="33">
        <f t="shared" si="15"/>
        <v>0</v>
      </c>
      <c r="AL175" s="33" t="e">
        <f t="shared" ca="1" si="16"/>
        <v>#REF!</v>
      </c>
      <c r="AM175" s="33" t="str">
        <f t="shared" si="17"/>
        <v/>
      </c>
      <c r="AN175" s="33" t="e">
        <f t="shared" ca="1" si="18"/>
        <v>#REF!</v>
      </c>
      <c r="AO175" s="174" t="e">
        <f t="shared" ca="1" si="19"/>
        <v>#REF!</v>
      </c>
      <c r="AP175" s="174" t="e">
        <f t="shared" ca="1" si="20"/>
        <v>#REF!</v>
      </c>
    </row>
    <row r="176" spans="1:42">
      <c r="A176" s="33" t="str">
        <f t="shared" si="14"/>
        <v/>
      </c>
      <c r="I176" s="33"/>
      <c r="J176" s="173" t="str" cm="1">
        <f t="array" aca="1" ref="J176" ca="1">IFERROR(_xlfn.IFS(OR(AL176&lt;&gt;"",AP176&lt;&gt;""),"STCOアサイン済",OR(AN176&lt;&gt;"",AO176&lt;&gt;""),"CHAT中"),"")</f>
        <v/>
      </c>
      <c r="K176" s="33"/>
      <c r="L176" s="33"/>
      <c r="M176" s="33"/>
      <c r="N176" s="33"/>
      <c r="O176" s="33"/>
      <c r="AK176" s="33">
        <f t="shared" si="15"/>
        <v>0</v>
      </c>
      <c r="AL176" s="33" t="e">
        <f t="shared" ca="1" si="16"/>
        <v>#REF!</v>
      </c>
      <c r="AM176" s="33" t="str">
        <f t="shared" si="17"/>
        <v/>
      </c>
      <c r="AN176" s="33" t="e">
        <f t="shared" ca="1" si="18"/>
        <v>#REF!</v>
      </c>
      <c r="AO176" s="174" t="e">
        <f t="shared" ca="1" si="19"/>
        <v>#REF!</v>
      </c>
      <c r="AP176" s="174" t="e">
        <f t="shared" ca="1" si="20"/>
        <v>#REF!</v>
      </c>
    </row>
    <row r="177" spans="1:42">
      <c r="A177" s="33" t="str">
        <f t="shared" si="14"/>
        <v/>
      </c>
      <c r="I177" s="33"/>
      <c r="J177" s="173" t="str" cm="1">
        <f t="array" aca="1" ref="J177" ca="1">IFERROR(_xlfn.IFS(OR(AL177&lt;&gt;"",AP177&lt;&gt;""),"STCOアサイン済",OR(AN177&lt;&gt;"",AO177&lt;&gt;""),"CHAT中"),"")</f>
        <v/>
      </c>
      <c r="K177" s="33"/>
      <c r="L177" s="33"/>
      <c r="M177" s="33"/>
      <c r="N177" s="33"/>
      <c r="O177" s="33"/>
      <c r="AK177" s="33">
        <f t="shared" si="15"/>
        <v>0</v>
      </c>
      <c r="AL177" s="33" t="e">
        <f t="shared" ca="1" si="16"/>
        <v>#REF!</v>
      </c>
      <c r="AM177" s="33" t="str">
        <f t="shared" si="17"/>
        <v/>
      </c>
      <c r="AN177" s="33" t="e">
        <f t="shared" ca="1" si="18"/>
        <v>#REF!</v>
      </c>
      <c r="AO177" s="174" t="e">
        <f t="shared" ca="1" si="19"/>
        <v>#REF!</v>
      </c>
      <c r="AP177" s="174" t="e">
        <f t="shared" ca="1" si="20"/>
        <v>#REF!</v>
      </c>
    </row>
    <row r="178" spans="1:42">
      <c r="A178" s="33" t="str">
        <f t="shared" si="14"/>
        <v/>
      </c>
      <c r="I178" s="33"/>
      <c r="J178" s="173" t="str" cm="1">
        <f t="array" aca="1" ref="J178" ca="1">IFERROR(_xlfn.IFS(OR(AL178&lt;&gt;"",AP178&lt;&gt;""),"STCOアサイン済",OR(AN178&lt;&gt;"",AO178&lt;&gt;""),"CHAT中"),"")</f>
        <v/>
      </c>
      <c r="K178" s="33"/>
      <c r="L178" s="33"/>
      <c r="M178" s="33"/>
      <c r="N178" s="33"/>
      <c r="O178" s="33"/>
      <c r="AK178" s="33">
        <f t="shared" si="15"/>
        <v>0</v>
      </c>
      <c r="AL178" s="33" t="e">
        <f t="shared" ca="1" si="16"/>
        <v>#REF!</v>
      </c>
      <c r="AM178" s="33" t="str">
        <f t="shared" si="17"/>
        <v/>
      </c>
      <c r="AN178" s="33" t="e">
        <f t="shared" ca="1" si="18"/>
        <v>#REF!</v>
      </c>
      <c r="AO178" s="174" t="e">
        <f t="shared" ca="1" si="19"/>
        <v>#REF!</v>
      </c>
      <c r="AP178" s="174" t="e">
        <f t="shared" ca="1" si="20"/>
        <v>#REF!</v>
      </c>
    </row>
    <row r="179" spans="1:42">
      <c r="A179" s="33" t="str">
        <f t="shared" si="14"/>
        <v/>
      </c>
      <c r="I179" s="33"/>
      <c r="J179" s="173" t="str" cm="1">
        <f t="array" aca="1" ref="J179" ca="1">IFERROR(_xlfn.IFS(OR(AL179&lt;&gt;"",AP179&lt;&gt;""),"STCOアサイン済",OR(AN179&lt;&gt;"",AO179&lt;&gt;""),"CHAT中"),"")</f>
        <v/>
      </c>
      <c r="K179" s="33"/>
      <c r="L179" s="33"/>
      <c r="M179" s="33"/>
      <c r="N179" s="33"/>
      <c r="O179" s="33"/>
      <c r="AK179" s="33">
        <f t="shared" si="15"/>
        <v>0</v>
      </c>
      <c r="AL179" s="33" t="e">
        <f t="shared" ca="1" si="16"/>
        <v>#REF!</v>
      </c>
      <c r="AM179" s="33" t="str">
        <f t="shared" si="17"/>
        <v/>
      </c>
      <c r="AN179" s="33" t="e">
        <f t="shared" ca="1" si="18"/>
        <v>#REF!</v>
      </c>
      <c r="AO179" s="174" t="e">
        <f t="shared" ca="1" si="19"/>
        <v>#REF!</v>
      </c>
      <c r="AP179" s="174" t="e">
        <f t="shared" ca="1" si="20"/>
        <v>#REF!</v>
      </c>
    </row>
    <row r="180" spans="1:42">
      <c r="A180" s="33" t="str">
        <f t="shared" si="14"/>
        <v/>
      </c>
      <c r="I180" s="33"/>
      <c r="J180" s="173" t="str" cm="1">
        <f t="array" aca="1" ref="J180" ca="1">IFERROR(_xlfn.IFS(OR(AL180&lt;&gt;"",AP180&lt;&gt;""),"STCOアサイン済",OR(AN180&lt;&gt;"",AO180&lt;&gt;""),"CHAT中"),"")</f>
        <v/>
      </c>
      <c r="K180" s="33"/>
      <c r="L180" s="33"/>
      <c r="M180" s="33"/>
      <c r="N180" s="33"/>
      <c r="O180" s="33"/>
      <c r="AK180" s="33">
        <f t="shared" si="15"/>
        <v>0</v>
      </c>
      <c r="AL180" s="33" t="e">
        <f t="shared" ca="1" si="16"/>
        <v>#REF!</v>
      </c>
      <c r="AM180" s="33" t="str">
        <f t="shared" si="17"/>
        <v/>
      </c>
      <c r="AN180" s="33" t="e">
        <f t="shared" ca="1" si="18"/>
        <v>#REF!</v>
      </c>
      <c r="AO180" s="174" t="e">
        <f t="shared" ca="1" si="19"/>
        <v>#REF!</v>
      </c>
      <c r="AP180" s="174" t="e">
        <f t="shared" ca="1" si="20"/>
        <v>#REF!</v>
      </c>
    </row>
    <row r="181" spans="1:42">
      <c r="A181" s="33" t="str">
        <f t="shared" si="14"/>
        <v/>
      </c>
      <c r="I181" s="33"/>
      <c r="J181" s="173" t="str" cm="1">
        <f t="array" aca="1" ref="J181" ca="1">IFERROR(_xlfn.IFS(OR(AL181&lt;&gt;"",AP181&lt;&gt;""),"STCOアサイン済",OR(AN181&lt;&gt;"",AO181&lt;&gt;""),"CHAT中"),"")</f>
        <v/>
      </c>
      <c r="K181" s="33"/>
      <c r="L181" s="33"/>
      <c r="M181" s="33"/>
      <c r="N181" s="33"/>
      <c r="O181" s="33"/>
      <c r="AK181" s="33">
        <f t="shared" si="15"/>
        <v>0</v>
      </c>
      <c r="AL181" s="33" t="e">
        <f t="shared" ca="1" si="16"/>
        <v>#REF!</v>
      </c>
      <c r="AM181" s="33" t="str">
        <f t="shared" si="17"/>
        <v/>
      </c>
      <c r="AN181" s="33" t="e">
        <f t="shared" ca="1" si="18"/>
        <v>#REF!</v>
      </c>
      <c r="AO181" s="174" t="e">
        <f t="shared" ca="1" si="19"/>
        <v>#REF!</v>
      </c>
      <c r="AP181" s="174" t="e">
        <f t="shared" ca="1" si="20"/>
        <v>#REF!</v>
      </c>
    </row>
    <row r="182" spans="1:42">
      <c r="A182" s="33" t="str">
        <f t="shared" si="14"/>
        <v/>
      </c>
      <c r="I182" s="33"/>
      <c r="J182" s="173" t="str" cm="1">
        <f t="array" aca="1" ref="J182" ca="1">IFERROR(_xlfn.IFS(OR(AL182&lt;&gt;"",AP182&lt;&gt;""),"STCOアサイン済",OR(AN182&lt;&gt;"",AO182&lt;&gt;""),"CHAT中"),"")</f>
        <v/>
      </c>
      <c r="K182" s="33"/>
      <c r="L182" s="33"/>
      <c r="M182" s="33"/>
      <c r="N182" s="33"/>
      <c r="O182" s="33"/>
      <c r="AK182" s="33">
        <f t="shared" si="15"/>
        <v>0</v>
      </c>
      <c r="AL182" s="33" t="e">
        <f t="shared" ca="1" si="16"/>
        <v>#REF!</v>
      </c>
      <c r="AM182" s="33" t="str">
        <f t="shared" si="17"/>
        <v/>
      </c>
      <c r="AN182" s="33" t="e">
        <f t="shared" ca="1" si="18"/>
        <v>#REF!</v>
      </c>
      <c r="AO182" s="174" t="e">
        <f t="shared" ca="1" si="19"/>
        <v>#REF!</v>
      </c>
      <c r="AP182" s="174" t="e">
        <f t="shared" ca="1" si="20"/>
        <v>#REF!</v>
      </c>
    </row>
    <row r="183" spans="1:42">
      <c r="A183" s="33" t="str">
        <f t="shared" si="14"/>
        <v/>
      </c>
      <c r="I183" s="33"/>
      <c r="J183" s="173" t="str" cm="1">
        <f t="array" aca="1" ref="J183" ca="1">IFERROR(_xlfn.IFS(OR(AL183&lt;&gt;"",AP183&lt;&gt;""),"STCOアサイン済",OR(AN183&lt;&gt;"",AO183&lt;&gt;""),"CHAT中"),"")</f>
        <v/>
      </c>
      <c r="K183" s="33"/>
      <c r="L183" s="33"/>
      <c r="M183" s="33"/>
      <c r="N183" s="33"/>
      <c r="O183" s="33"/>
      <c r="AK183" s="33">
        <f t="shared" si="15"/>
        <v>0</v>
      </c>
      <c r="AL183" s="33" t="e">
        <f t="shared" ca="1" si="16"/>
        <v>#REF!</v>
      </c>
      <c r="AM183" s="33" t="str">
        <f t="shared" si="17"/>
        <v/>
      </c>
      <c r="AN183" s="33" t="e">
        <f t="shared" ca="1" si="18"/>
        <v>#REF!</v>
      </c>
      <c r="AO183" s="174" t="e">
        <f t="shared" ca="1" si="19"/>
        <v>#REF!</v>
      </c>
      <c r="AP183" s="174" t="e">
        <f t="shared" ca="1" si="20"/>
        <v>#REF!</v>
      </c>
    </row>
    <row r="184" spans="1:42">
      <c r="A184" s="33" t="str">
        <f t="shared" si="14"/>
        <v/>
      </c>
      <c r="I184" s="33"/>
      <c r="J184" s="173" t="str" cm="1">
        <f t="array" aca="1" ref="J184" ca="1">IFERROR(_xlfn.IFS(OR(AL184&lt;&gt;"",AP184&lt;&gt;""),"STCOアサイン済",OR(AN184&lt;&gt;"",AO184&lt;&gt;""),"CHAT中"),"")</f>
        <v/>
      </c>
      <c r="K184" s="33"/>
      <c r="L184" s="33"/>
      <c r="M184" s="33"/>
      <c r="N184" s="33"/>
      <c r="O184" s="33"/>
      <c r="AK184" s="33">
        <f t="shared" si="15"/>
        <v>0</v>
      </c>
      <c r="AL184" s="33" t="e">
        <f t="shared" ca="1" si="16"/>
        <v>#REF!</v>
      </c>
      <c r="AM184" s="33" t="str">
        <f t="shared" si="17"/>
        <v/>
      </c>
      <c r="AN184" s="33" t="e">
        <f t="shared" ca="1" si="18"/>
        <v>#REF!</v>
      </c>
      <c r="AO184" s="174" t="e">
        <f t="shared" ca="1" si="19"/>
        <v>#REF!</v>
      </c>
      <c r="AP184" s="174" t="e">
        <f t="shared" ca="1" si="20"/>
        <v>#REF!</v>
      </c>
    </row>
    <row r="185" spans="1:42">
      <c r="A185" s="33" t="str">
        <f t="shared" si="14"/>
        <v/>
      </c>
      <c r="I185" s="33"/>
      <c r="J185" s="173" t="str" cm="1">
        <f t="array" aca="1" ref="J185" ca="1">IFERROR(_xlfn.IFS(OR(AL185&lt;&gt;"",AP185&lt;&gt;""),"STCOアサイン済",OR(AN185&lt;&gt;"",AO185&lt;&gt;""),"CHAT中"),"")</f>
        <v/>
      </c>
      <c r="K185" s="33"/>
      <c r="L185" s="33"/>
      <c r="M185" s="33"/>
      <c r="N185" s="33"/>
      <c r="O185" s="33"/>
      <c r="AK185" s="33">
        <f t="shared" si="15"/>
        <v>0</v>
      </c>
      <c r="AL185" s="33" t="e">
        <f t="shared" ca="1" si="16"/>
        <v>#REF!</v>
      </c>
      <c r="AM185" s="33" t="str">
        <f t="shared" si="17"/>
        <v/>
      </c>
      <c r="AN185" s="33" t="e">
        <f t="shared" ca="1" si="18"/>
        <v>#REF!</v>
      </c>
      <c r="AO185" s="174" t="e">
        <f t="shared" ca="1" si="19"/>
        <v>#REF!</v>
      </c>
      <c r="AP185" s="174" t="e">
        <f t="shared" ca="1" si="20"/>
        <v>#REF!</v>
      </c>
    </row>
    <row r="186" spans="1:42">
      <c r="A186" s="33" t="str">
        <f t="shared" si="14"/>
        <v/>
      </c>
      <c r="I186" s="33"/>
      <c r="J186" s="173" t="str" cm="1">
        <f t="array" aca="1" ref="J186" ca="1">IFERROR(_xlfn.IFS(OR(AL186&lt;&gt;"",AP186&lt;&gt;""),"STCOアサイン済",OR(AN186&lt;&gt;"",AO186&lt;&gt;""),"CHAT中"),"")</f>
        <v/>
      </c>
      <c r="K186" s="33"/>
      <c r="L186" s="33"/>
      <c r="M186" s="33"/>
      <c r="N186" s="33"/>
      <c r="O186" s="33"/>
      <c r="AK186" s="33">
        <f t="shared" si="15"/>
        <v>0</v>
      </c>
      <c r="AL186" s="33" t="e">
        <f t="shared" ca="1" si="16"/>
        <v>#REF!</v>
      </c>
      <c r="AM186" s="33" t="str">
        <f t="shared" si="17"/>
        <v/>
      </c>
      <c r="AN186" s="33" t="e">
        <f t="shared" ca="1" si="18"/>
        <v>#REF!</v>
      </c>
      <c r="AO186" s="174" t="e">
        <f t="shared" ca="1" si="19"/>
        <v>#REF!</v>
      </c>
      <c r="AP186" s="174" t="e">
        <f t="shared" ca="1" si="20"/>
        <v>#REF!</v>
      </c>
    </row>
    <row r="187" spans="1:42">
      <c r="A187" s="33" t="str">
        <f t="shared" si="14"/>
        <v/>
      </c>
      <c r="I187" s="33"/>
      <c r="J187" s="173" t="str" cm="1">
        <f t="array" aca="1" ref="J187" ca="1">IFERROR(_xlfn.IFS(OR(AL187&lt;&gt;"",AP187&lt;&gt;""),"STCOアサイン済",OR(AN187&lt;&gt;"",AO187&lt;&gt;""),"CHAT中"),"")</f>
        <v/>
      </c>
      <c r="K187" s="33"/>
      <c r="L187" s="33"/>
      <c r="M187" s="33"/>
      <c r="N187" s="33"/>
      <c r="O187" s="33"/>
      <c r="AK187" s="33">
        <f t="shared" si="15"/>
        <v>0</v>
      </c>
      <c r="AL187" s="33" t="e">
        <f t="shared" ca="1" si="16"/>
        <v>#REF!</v>
      </c>
      <c r="AM187" s="33" t="str">
        <f t="shared" si="17"/>
        <v/>
      </c>
      <c r="AN187" s="33" t="e">
        <f t="shared" ca="1" si="18"/>
        <v>#REF!</v>
      </c>
      <c r="AO187" s="174" t="e">
        <f t="shared" ca="1" si="19"/>
        <v>#REF!</v>
      </c>
      <c r="AP187" s="174" t="e">
        <f t="shared" ca="1" si="20"/>
        <v>#REF!</v>
      </c>
    </row>
    <row r="188" spans="1:42">
      <c r="A188" s="33" t="str">
        <f t="shared" si="14"/>
        <v/>
      </c>
      <c r="I188" s="33"/>
      <c r="J188" s="173" t="str" cm="1">
        <f t="array" aca="1" ref="J188" ca="1">IFERROR(_xlfn.IFS(OR(AL188&lt;&gt;"",AP188&lt;&gt;""),"STCOアサイン済",OR(AN188&lt;&gt;"",AO188&lt;&gt;""),"CHAT中"),"")</f>
        <v/>
      </c>
      <c r="K188" s="33"/>
      <c r="L188" s="33"/>
      <c r="M188" s="33"/>
      <c r="N188" s="33"/>
      <c r="O188" s="33"/>
      <c r="AK188" s="33">
        <f t="shared" si="15"/>
        <v>0</v>
      </c>
      <c r="AL188" s="33" t="e">
        <f t="shared" ca="1" si="16"/>
        <v>#REF!</v>
      </c>
      <c r="AM188" s="33" t="str">
        <f t="shared" si="17"/>
        <v/>
      </c>
      <c r="AN188" s="33" t="e">
        <f t="shared" ca="1" si="18"/>
        <v>#REF!</v>
      </c>
      <c r="AO188" s="174" t="e">
        <f t="shared" ca="1" si="19"/>
        <v>#REF!</v>
      </c>
      <c r="AP188" s="174" t="e">
        <f t="shared" ca="1" si="20"/>
        <v>#REF!</v>
      </c>
    </row>
    <row r="189" spans="1:42">
      <c r="A189" s="33" t="str">
        <f t="shared" si="14"/>
        <v/>
      </c>
      <c r="I189" s="33"/>
      <c r="J189" s="173" t="str" cm="1">
        <f t="array" aca="1" ref="J189" ca="1">IFERROR(_xlfn.IFS(OR(AL189&lt;&gt;"",AP189&lt;&gt;""),"STCOアサイン済",OR(AN189&lt;&gt;"",AO189&lt;&gt;""),"CHAT中"),"")</f>
        <v/>
      </c>
      <c r="K189" s="33"/>
      <c r="L189" s="33"/>
      <c r="M189" s="33"/>
      <c r="N189" s="33"/>
      <c r="O189" s="33"/>
      <c r="AK189" s="33">
        <f t="shared" si="15"/>
        <v>0</v>
      </c>
      <c r="AL189" s="33" t="e">
        <f t="shared" ca="1" si="16"/>
        <v>#REF!</v>
      </c>
      <c r="AM189" s="33" t="str">
        <f t="shared" si="17"/>
        <v/>
      </c>
      <c r="AN189" s="33" t="e">
        <f t="shared" ca="1" si="18"/>
        <v>#REF!</v>
      </c>
      <c r="AO189" s="174" t="e">
        <f t="shared" ca="1" si="19"/>
        <v>#REF!</v>
      </c>
      <c r="AP189" s="174" t="e">
        <f t="shared" ca="1" si="20"/>
        <v>#REF!</v>
      </c>
    </row>
    <row r="190" spans="1:42">
      <c r="A190" s="33" t="str">
        <f t="shared" si="14"/>
        <v/>
      </c>
      <c r="I190" s="33"/>
      <c r="J190" s="173" t="str" cm="1">
        <f t="array" aca="1" ref="J190" ca="1">IFERROR(_xlfn.IFS(OR(AL190&lt;&gt;"",AP190&lt;&gt;""),"STCOアサイン済",OR(AN190&lt;&gt;"",AO190&lt;&gt;""),"CHAT中"),"")</f>
        <v/>
      </c>
      <c r="K190" s="33"/>
      <c r="L190" s="33"/>
      <c r="M190" s="33"/>
      <c r="N190" s="33"/>
      <c r="O190" s="33"/>
      <c r="AK190" s="33">
        <f t="shared" si="15"/>
        <v>0</v>
      </c>
      <c r="AL190" s="33" t="e">
        <f t="shared" ca="1" si="16"/>
        <v>#REF!</v>
      </c>
      <c r="AM190" s="33" t="str">
        <f t="shared" si="17"/>
        <v/>
      </c>
      <c r="AN190" s="33" t="e">
        <f t="shared" ca="1" si="18"/>
        <v>#REF!</v>
      </c>
      <c r="AO190" s="174" t="e">
        <f t="shared" ca="1" si="19"/>
        <v>#REF!</v>
      </c>
      <c r="AP190" s="174" t="e">
        <f t="shared" ca="1" si="20"/>
        <v>#REF!</v>
      </c>
    </row>
    <row r="191" spans="1:42">
      <c r="A191" s="33" t="str">
        <f t="shared" si="14"/>
        <v/>
      </c>
      <c r="I191" s="33"/>
      <c r="J191" s="173" t="str" cm="1">
        <f t="array" aca="1" ref="J191" ca="1">IFERROR(_xlfn.IFS(OR(AL191&lt;&gt;"",AP191&lt;&gt;""),"STCOアサイン済",OR(AN191&lt;&gt;"",AO191&lt;&gt;""),"CHAT中"),"")</f>
        <v/>
      </c>
      <c r="K191" s="33"/>
      <c r="L191" s="33"/>
      <c r="M191" s="33"/>
      <c r="N191" s="33"/>
      <c r="O191" s="33"/>
      <c r="AK191" s="33">
        <f t="shared" si="15"/>
        <v>0</v>
      </c>
      <c r="AL191" s="33" t="e">
        <f t="shared" ca="1" si="16"/>
        <v>#REF!</v>
      </c>
      <c r="AM191" s="33" t="str">
        <f t="shared" si="17"/>
        <v/>
      </c>
      <c r="AN191" s="33" t="e">
        <f t="shared" ca="1" si="18"/>
        <v>#REF!</v>
      </c>
      <c r="AO191" s="174" t="e">
        <f t="shared" ca="1" si="19"/>
        <v>#REF!</v>
      </c>
      <c r="AP191" s="174" t="e">
        <f t="shared" ca="1" si="20"/>
        <v>#REF!</v>
      </c>
    </row>
    <row r="192" spans="1:42">
      <c r="A192" s="33" t="str">
        <f t="shared" si="14"/>
        <v/>
      </c>
      <c r="I192" s="33"/>
      <c r="J192" s="173" t="str" cm="1">
        <f t="array" aca="1" ref="J192" ca="1">IFERROR(_xlfn.IFS(OR(AL192&lt;&gt;"",AP192&lt;&gt;""),"STCOアサイン済",OR(AN192&lt;&gt;"",AO192&lt;&gt;""),"CHAT中"),"")</f>
        <v/>
      </c>
      <c r="K192" s="33"/>
      <c r="L192" s="33"/>
      <c r="M192" s="33"/>
      <c r="N192" s="33"/>
      <c r="O192" s="33"/>
      <c r="AK192" s="33">
        <f t="shared" si="15"/>
        <v>0</v>
      </c>
      <c r="AL192" s="33" t="e">
        <f t="shared" ca="1" si="16"/>
        <v>#REF!</v>
      </c>
      <c r="AM192" s="33" t="str">
        <f t="shared" si="17"/>
        <v/>
      </c>
      <c r="AN192" s="33" t="e">
        <f t="shared" ca="1" si="18"/>
        <v>#REF!</v>
      </c>
      <c r="AO192" s="174" t="e">
        <f t="shared" ca="1" si="19"/>
        <v>#REF!</v>
      </c>
      <c r="AP192" s="174" t="e">
        <f t="shared" ca="1" si="20"/>
        <v>#REF!</v>
      </c>
    </row>
    <row r="193" spans="1:42">
      <c r="A193" s="33" t="str">
        <f t="shared" si="14"/>
        <v/>
      </c>
      <c r="I193" s="33"/>
      <c r="J193" s="173" t="str" cm="1">
        <f t="array" aca="1" ref="J193" ca="1">IFERROR(_xlfn.IFS(OR(AL193&lt;&gt;"",AP193&lt;&gt;""),"STCOアサイン済",OR(AN193&lt;&gt;"",AO193&lt;&gt;""),"CHAT中"),"")</f>
        <v/>
      </c>
      <c r="K193" s="33"/>
      <c r="L193" s="33"/>
      <c r="M193" s="33"/>
      <c r="N193" s="33"/>
      <c r="O193" s="33"/>
      <c r="AK193" s="33">
        <f t="shared" si="15"/>
        <v>0</v>
      </c>
      <c r="AL193" s="33" t="e">
        <f t="shared" ca="1" si="16"/>
        <v>#REF!</v>
      </c>
      <c r="AM193" s="33" t="str">
        <f t="shared" si="17"/>
        <v/>
      </c>
      <c r="AN193" s="33" t="e">
        <f t="shared" ca="1" si="18"/>
        <v>#REF!</v>
      </c>
      <c r="AO193" s="174" t="e">
        <f t="shared" ca="1" si="19"/>
        <v>#REF!</v>
      </c>
      <c r="AP193" s="174" t="e">
        <f t="shared" ca="1" si="20"/>
        <v>#REF!</v>
      </c>
    </row>
    <row r="194" spans="1:42">
      <c r="A194" s="33" t="str">
        <f t="shared" si="14"/>
        <v/>
      </c>
      <c r="I194" s="33"/>
      <c r="J194" s="173" t="str" cm="1">
        <f t="array" aca="1" ref="J194" ca="1">IFERROR(_xlfn.IFS(OR(AL194&lt;&gt;"",AP194&lt;&gt;""),"STCOアサイン済",OR(AN194&lt;&gt;"",AO194&lt;&gt;""),"CHAT中"),"")</f>
        <v/>
      </c>
      <c r="K194" s="33"/>
      <c r="L194" s="33"/>
      <c r="M194" s="33"/>
      <c r="N194" s="33"/>
      <c r="O194" s="33"/>
      <c r="AK194" s="33">
        <f t="shared" si="15"/>
        <v>0</v>
      </c>
      <c r="AL194" s="33" t="e">
        <f t="shared" ca="1" si="16"/>
        <v>#REF!</v>
      </c>
      <c r="AM194" s="33" t="str">
        <f t="shared" si="17"/>
        <v/>
      </c>
      <c r="AN194" s="33" t="e">
        <f t="shared" ca="1" si="18"/>
        <v>#REF!</v>
      </c>
      <c r="AO194" s="174" t="e">
        <f t="shared" ca="1" si="19"/>
        <v>#REF!</v>
      </c>
      <c r="AP194" s="174" t="e">
        <f t="shared" ca="1" si="20"/>
        <v>#REF!</v>
      </c>
    </row>
    <row r="195" spans="1:42">
      <c r="A195" s="33" t="str">
        <f t="shared" si="14"/>
        <v/>
      </c>
      <c r="I195" s="33"/>
      <c r="J195" s="173" t="str" cm="1">
        <f t="array" aca="1" ref="J195" ca="1">IFERROR(_xlfn.IFS(OR(AL195&lt;&gt;"",AP195&lt;&gt;""),"STCOアサイン済",OR(AN195&lt;&gt;"",AO195&lt;&gt;""),"CHAT中"),"")</f>
        <v/>
      </c>
      <c r="K195" s="33"/>
      <c r="L195" s="33"/>
      <c r="M195" s="33"/>
      <c r="N195" s="33"/>
      <c r="O195" s="33"/>
      <c r="AK195" s="33">
        <f t="shared" si="15"/>
        <v>0</v>
      </c>
      <c r="AL195" s="33" t="e">
        <f t="shared" ca="1" si="16"/>
        <v>#REF!</v>
      </c>
      <c r="AM195" s="33" t="str">
        <f t="shared" si="17"/>
        <v/>
      </c>
      <c r="AN195" s="33" t="e">
        <f t="shared" ca="1" si="18"/>
        <v>#REF!</v>
      </c>
      <c r="AO195" s="174" t="e">
        <f t="shared" ca="1" si="19"/>
        <v>#REF!</v>
      </c>
      <c r="AP195" s="174" t="e">
        <f t="shared" ca="1" si="20"/>
        <v>#REF!</v>
      </c>
    </row>
    <row r="196" spans="1:42">
      <c r="A196" s="33" t="str">
        <f t="shared" si="14"/>
        <v/>
      </c>
      <c r="I196" s="33"/>
      <c r="J196" s="173" t="str" cm="1">
        <f t="array" aca="1" ref="J196" ca="1">IFERROR(_xlfn.IFS(OR(AL196&lt;&gt;"",AP196&lt;&gt;""),"STCOアサイン済",OR(AN196&lt;&gt;"",AO196&lt;&gt;""),"CHAT中"),"")</f>
        <v/>
      </c>
      <c r="K196" s="33"/>
      <c r="L196" s="33"/>
      <c r="M196" s="33"/>
      <c r="N196" s="33"/>
      <c r="O196" s="33"/>
      <c r="AK196" s="33">
        <f t="shared" si="15"/>
        <v>0</v>
      </c>
      <c r="AL196" s="33" t="e">
        <f t="shared" ca="1" si="16"/>
        <v>#REF!</v>
      </c>
      <c r="AM196" s="33" t="str">
        <f t="shared" si="17"/>
        <v/>
      </c>
      <c r="AN196" s="33" t="e">
        <f t="shared" ca="1" si="18"/>
        <v>#REF!</v>
      </c>
      <c r="AO196" s="174" t="e">
        <f t="shared" ca="1" si="19"/>
        <v>#REF!</v>
      </c>
      <c r="AP196" s="174" t="e">
        <f t="shared" ca="1" si="20"/>
        <v>#REF!</v>
      </c>
    </row>
    <row r="197" spans="1:42">
      <c r="A197" s="33" t="str">
        <f t="shared" si="14"/>
        <v/>
      </c>
      <c r="I197" s="33"/>
      <c r="J197" s="173" t="str" cm="1">
        <f t="array" aca="1" ref="J197" ca="1">IFERROR(_xlfn.IFS(OR(AL197&lt;&gt;"",AP197&lt;&gt;""),"STCOアサイン済",OR(AN197&lt;&gt;"",AO197&lt;&gt;""),"CHAT中"),"")</f>
        <v/>
      </c>
      <c r="K197" s="33"/>
      <c r="L197" s="33"/>
      <c r="M197" s="33"/>
      <c r="N197" s="33"/>
      <c r="O197" s="33"/>
      <c r="AK197" s="33">
        <f t="shared" si="15"/>
        <v>0</v>
      </c>
      <c r="AL197" s="33" t="e">
        <f t="shared" ca="1" si="16"/>
        <v>#REF!</v>
      </c>
      <c r="AM197" s="33" t="str">
        <f t="shared" si="17"/>
        <v/>
      </c>
      <c r="AN197" s="33" t="e">
        <f t="shared" ca="1" si="18"/>
        <v>#REF!</v>
      </c>
      <c r="AO197" s="174" t="e">
        <f t="shared" ca="1" si="19"/>
        <v>#REF!</v>
      </c>
      <c r="AP197" s="174" t="e">
        <f t="shared" ca="1" si="20"/>
        <v>#REF!</v>
      </c>
    </row>
    <row r="198" spans="1:42">
      <c r="A198" s="33" t="str">
        <f t="shared" si="14"/>
        <v/>
      </c>
      <c r="I198" s="33"/>
      <c r="J198" s="173" t="str" cm="1">
        <f t="array" aca="1" ref="J198" ca="1">IFERROR(_xlfn.IFS(OR(AL198&lt;&gt;"",AP198&lt;&gt;""),"STCOアサイン済",OR(AN198&lt;&gt;"",AO198&lt;&gt;""),"CHAT中"),"")</f>
        <v/>
      </c>
      <c r="K198" s="33"/>
      <c r="L198" s="33"/>
      <c r="M198" s="33"/>
      <c r="N198" s="33"/>
      <c r="O198" s="33"/>
      <c r="AK198" s="33">
        <f t="shared" si="15"/>
        <v>0</v>
      </c>
      <c r="AL198" s="33" t="e">
        <f t="shared" ca="1" si="16"/>
        <v>#REF!</v>
      </c>
      <c r="AM198" s="33" t="str">
        <f t="shared" si="17"/>
        <v/>
      </c>
      <c r="AN198" s="33" t="e">
        <f t="shared" ca="1" si="18"/>
        <v>#REF!</v>
      </c>
      <c r="AO198" s="174" t="e">
        <f t="shared" ca="1" si="19"/>
        <v>#REF!</v>
      </c>
      <c r="AP198" s="174" t="e">
        <f t="shared" ca="1" si="20"/>
        <v>#REF!</v>
      </c>
    </row>
    <row r="199" spans="1:42">
      <c r="A199" s="33" t="str">
        <f t="shared" si="14"/>
        <v/>
      </c>
      <c r="I199" s="33"/>
      <c r="J199" s="173" t="str" cm="1">
        <f t="array" aca="1" ref="J199" ca="1">IFERROR(_xlfn.IFS(OR(AL199&lt;&gt;"",AP199&lt;&gt;""),"STCOアサイン済",OR(AN199&lt;&gt;"",AO199&lt;&gt;""),"CHAT中"),"")</f>
        <v/>
      </c>
      <c r="K199" s="33"/>
      <c r="L199" s="33"/>
      <c r="M199" s="33"/>
      <c r="N199" s="33"/>
      <c r="O199" s="33"/>
      <c r="AK199" s="33">
        <f t="shared" si="15"/>
        <v>0</v>
      </c>
      <c r="AL199" s="33" t="e">
        <f t="shared" ca="1" si="16"/>
        <v>#REF!</v>
      </c>
      <c r="AM199" s="33" t="str">
        <f t="shared" si="17"/>
        <v/>
      </c>
      <c r="AN199" s="33" t="e">
        <f t="shared" ca="1" si="18"/>
        <v>#REF!</v>
      </c>
      <c r="AO199" s="174" t="e">
        <f t="shared" ca="1" si="19"/>
        <v>#REF!</v>
      </c>
      <c r="AP199" s="174" t="e">
        <f t="shared" ca="1" si="20"/>
        <v>#REF!</v>
      </c>
    </row>
    <row r="200" spans="1:42">
      <c r="A200" s="33" t="str">
        <f t="shared" ref="A200:A263" si="21">IF(ISBLANK($I200), "", _xlfn.IFS($I200&gt;10, "DS", $I200&lt;=10, "未定"))</f>
        <v/>
      </c>
      <c r="I200" s="33"/>
      <c r="J200" s="173" t="str" cm="1">
        <f t="array" aca="1" ref="J200" ca="1">IFERROR(_xlfn.IFS(OR(AL200&lt;&gt;"",AP200&lt;&gt;""),"STCOアサイン済",OR(AN200&lt;&gt;"",AO200&lt;&gt;""),"CHAT中"),"")</f>
        <v/>
      </c>
      <c r="K200" s="33"/>
      <c r="L200" s="33"/>
      <c r="M200" s="33"/>
      <c r="N200" s="33"/>
      <c r="O200" s="33"/>
      <c r="AK200" s="33">
        <f t="shared" si="15"/>
        <v>0</v>
      </c>
      <c r="AL200" s="33" t="e">
        <f t="shared" ca="1" si="16"/>
        <v>#REF!</v>
      </c>
      <c r="AM200" s="33" t="str">
        <f t="shared" si="17"/>
        <v/>
      </c>
      <c r="AN200" s="33" t="e">
        <f t="shared" ca="1" si="18"/>
        <v>#REF!</v>
      </c>
      <c r="AO200" s="174" t="e">
        <f t="shared" ca="1" si="19"/>
        <v>#REF!</v>
      </c>
      <c r="AP200" s="174" t="e">
        <f t="shared" ca="1" si="20"/>
        <v>#REF!</v>
      </c>
    </row>
    <row r="201" spans="1:42">
      <c r="A201" s="33" t="str">
        <f t="shared" si="21"/>
        <v/>
      </c>
      <c r="I201" s="33"/>
      <c r="J201" s="173" t="str" cm="1">
        <f t="array" aca="1" ref="J201" ca="1">IFERROR(_xlfn.IFS(OR(AL201&lt;&gt;"",AP201&lt;&gt;""),"STCOアサイン済",OR(AN201&lt;&gt;"",AO201&lt;&gt;""),"CHAT中"),"")</f>
        <v/>
      </c>
      <c r="K201" s="33"/>
      <c r="L201" s="33"/>
      <c r="M201" s="33"/>
      <c r="N201" s="33"/>
      <c r="O201" s="33"/>
      <c r="AK201" s="33">
        <f t="shared" ref="AK201:AK264" si="22">C201</f>
        <v>0</v>
      </c>
      <c r="AL201" s="33" t="e">
        <f t="shared" ref="AL201:AL264" ca="1" si="23">IF(SUMIF(INDIRECT($AL$7&amp;"!$AM$5:$AM$800"),C201&amp;$AL$6,INDIRECT($AL$7&amp;"!$AN$5:$AN$800"))&lt;=0,"")</f>
        <v>#REF!</v>
      </c>
      <c r="AM201" s="33" t="str">
        <f t="shared" ref="AM201:AM264" si="24">IF(A201="","",A201)</f>
        <v/>
      </c>
      <c r="AN201" s="33" t="e">
        <f t="shared" ref="AN201:AN264" ca="1" si="25">IF(SUMIF(INDIRECT($AL$7&amp;"!$AM$5:$AM$800"),C201&amp;$AL$6,INDIRECT($AL$7&amp;"!$AO$5:$AO$800"))=0,"")</f>
        <v>#REF!</v>
      </c>
      <c r="AO201" s="174" t="e">
        <f t="shared" ref="AO201:AO264" ca="1" si="26">IF(SUMIF(INDIRECT($AL$7&amp;"!$AR$5:$AR$800"),C201&amp;$AL$6,INDIRECT($AL$7&amp;"!$AO$5:$AO$800"))=0,"")</f>
        <v>#REF!</v>
      </c>
      <c r="AP201" s="174" t="e">
        <f t="shared" ref="AP201:AP264" ca="1" si="27">IF(SUMIF(INDIRECT($AL$7&amp;"!$AR$5:$AR$800"),C201&amp;$AL$6,INDIRECT($AL$7&amp;"!$AN$5:$AN$800"))&lt;=0,"")</f>
        <v>#REF!</v>
      </c>
    </row>
    <row r="202" spans="1:42">
      <c r="A202" s="33" t="str">
        <f t="shared" si="21"/>
        <v/>
      </c>
      <c r="I202" s="33"/>
      <c r="J202" s="173" t="str" cm="1">
        <f t="array" aca="1" ref="J202" ca="1">IFERROR(_xlfn.IFS(OR(AL202&lt;&gt;"",AP202&lt;&gt;""),"STCOアサイン済",OR(AN202&lt;&gt;"",AO202&lt;&gt;""),"CHAT中"),"")</f>
        <v/>
      </c>
      <c r="K202" s="33"/>
      <c r="L202" s="33"/>
      <c r="M202" s="33"/>
      <c r="N202" s="33"/>
      <c r="O202" s="33"/>
      <c r="AK202" s="33">
        <f t="shared" si="22"/>
        <v>0</v>
      </c>
      <c r="AL202" s="33" t="e">
        <f t="shared" ca="1" si="23"/>
        <v>#REF!</v>
      </c>
      <c r="AM202" s="33" t="str">
        <f t="shared" si="24"/>
        <v/>
      </c>
      <c r="AN202" s="33" t="e">
        <f t="shared" ca="1" si="25"/>
        <v>#REF!</v>
      </c>
      <c r="AO202" s="174" t="e">
        <f t="shared" ca="1" si="26"/>
        <v>#REF!</v>
      </c>
      <c r="AP202" s="174" t="e">
        <f t="shared" ca="1" si="27"/>
        <v>#REF!</v>
      </c>
    </row>
    <row r="203" spans="1:42">
      <c r="A203" s="33" t="str">
        <f t="shared" si="21"/>
        <v/>
      </c>
      <c r="I203" s="33"/>
      <c r="J203" s="173" t="str" cm="1">
        <f t="array" aca="1" ref="J203" ca="1">IFERROR(_xlfn.IFS(OR(AL203&lt;&gt;"",AP203&lt;&gt;""),"STCOアサイン済",OR(AN203&lt;&gt;"",AO203&lt;&gt;""),"CHAT中"),"")</f>
        <v/>
      </c>
      <c r="K203" s="33"/>
      <c r="L203" s="33"/>
      <c r="M203" s="33"/>
      <c r="N203" s="33"/>
      <c r="O203" s="33"/>
      <c r="AK203" s="33">
        <f t="shared" si="22"/>
        <v>0</v>
      </c>
      <c r="AL203" s="33" t="e">
        <f t="shared" ca="1" si="23"/>
        <v>#REF!</v>
      </c>
      <c r="AM203" s="33" t="str">
        <f t="shared" si="24"/>
        <v/>
      </c>
      <c r="AN203" s="33" t="e">
        <f t="shared" ca="1" si="25"/>
        <v>#REF!</v>
      </c>
      <c r="AO203" s="174" t="e">
        <f t="shared" ca="1" si="26"/>
        <v>#REF!</v>
      </c>
      <c r="AP203" s="174" t="e">
        <f t="shared" ca="1" si="27"/>
        <v>#REF!</v>
      </c>
    </row>
    <row r="204" spans="1:42">
      <c r="A204" s="33" t="str">
        <f t="shared" si="21"/>
        <v/>
      </c>
      <c r="I204" s="33"/>
      <c r="J204" s="173" t="str" cm="1">
        <f t="array" aca="1" ref="J204" ca="1">IFERROR(_xlfn.IFS(OR(AL204&lt;&gt;"",AP204&lt;&gt;""),"STCOアサイン済",OR(AN204&lt;&gt;"",AO204&lt;&gt;""),"CHAT中"),"")</f>
        <v/>
      </c>
      <c r="K204" s="33"/>
      <c r="L204" s="33"/>
      <c r="M204" s="33"/>
      <c r="N204" s="33"/>
      <c r="O204" s="33"/>
      <c r="AK204" s="33">
        <f t="shared" si="22"/>
        <v>0</v>
      </c>
      <c r="AL204" s="33" t="e">
        <f t="shared" ca="1" si="23"/>
        <v>#REF!</v>
      </c>
      <c r="AM204" s="33" t="str">
        <f t="shared" si="24"/>
        <v/>
      </c>
      <c r="AN204" s="33" t="e">
        <f t="shared" ca="1" si="25"/>
        <v>#REF!</v>
      </c>
      <c r="AO204" s="174" t="e">
        <f t="shared" ca="1" si="26"/>
        <v>#REF!</v>
      </c>
      <c r="AP204" s="174" t="e">
        <f t="shared" ca="1" si="27"/>
        <v>#REF!</v>
      </c>
    </row>
    <row r="205" spans="1:42">
      <c r="A205" s="33" t="str">
        <f t="shared" si="21"/>
        <v/>
      </c>
      <c r="I205" s="33"/>
      <c r="J205" s="173" t="str" cm="1">
        <f t="array" aca="1" ref="J205" ca="1">IFERROR(_xlfn.IFS(OR(AL205&lt;&gt;"",AP205&lt;&gt;""),"STCOアサイン済",OR(AN205&lt;&gt;"",AO205&lt;&gt;""),"CHAT中"),"")</f>
        <v/>
      </c>
      <c r="K205" s="33"/>
      <c r="L205" s="33"/>
      <c r="M205" s="33"/>
      <c r="N205" s="33"/>
      <c r="O205" s="33"/>
      <c r="AK205" s="33">
        <f t="shared" si="22"/>
        <v>0</v>
      </c>
      <c r="AL205" s="33" t="e">
        <f t="shared" ca="1" si="23"/>
        <v>#REF!</v>
      </c>
      <c r="AM205" s="33" t="str">
        <f t="shared" si="24"/>
        <v/>
      </c>
      <c r="AN205" s="33" t="e">
        <f t="shared" ca="1" si="25"/>
        <v>#REF!</v>
      </c>
      <c r="AO205" s="174" t="e">
        <f t="shared" ca="1" si="26"/>
        <v>#REF!</v>
      </c>
      <c r="AP205" s="174" t="e">
        <f t="shared" ca="1" si="27"/>
        <v>#REF!</v>
      </c>
    </row>
    <row r="206" spans="1:42">
      <c r="A206" s="33" t="str">
        <f t="shared" si="21"/>
        <v/>
      </c>
      <c r="I206" s="33"/>
      <c r="J206" s="173" t="str" cm="1">
        <f t="array" aca="1" ref="J206" ca="1">IFERROR(_xlfn.IFS(OR(AL206&lt;&gt;"",AP206&lt;&gt;""),"STCOアサイン済",OR(AN206&lt;&gt;"",AO206&lt;&gt;""),"CHAT中"),"")</f>
        <v/>
      </c>
      <c r="K206" s="33"/>
      <c r="L206" s="33"/>
      <c r="M206" s="33"/>
      <c r="N206" s="33"/>
      <c r="O206" s="33"/>
      <c r="AK206" s="33">
        <f t="shared" si="22"/>
        <v>0</v>
      </c>
      <c r="AL206" s="33" t="e">
        <f t="shared" ca="1" si="23"/>
        <v>#REF!</v>
      </c>
      <c r="AM206" s="33" t="str">
        <f t="shared" si="24"/>
        <v/>
      </c>
      <c r="AN206" s="33" t="e">
        <f t="shared" ca="1" si="25"/>
        <v>#REF!</v>
      </c>
      <c r="AO206" s="174" t="e">
        <f t="shared" ca="1" si="26"/>
        <v>#REF!</v>
      </c>
      <c r="AP206" s="174" t="e">
        <f t="shared" ca="1" si="27"/>
        <v>#REF!</v>
      </c>
    </row>
    <row r="207" spans="1:42">
      <c r="A207" s="33" t="str">
        <f t="shared" si="21"/>
        <v/>
      </c>
      <c r="I207" s="33"/>
      <c r="J207" s="173" t="str" cm="1">
        <f t="array" aca="1" ref="J207" ca="1">IFERROR(_xlfn.IFS(OR(AL207&lt;&gt;"",AP207&lt;&gt;""),"STCOアサイン済",OR(AN207&lt;&gt;"",AO207&lt;&gt;""),"CHAT中"),"")</f>
        <v/>
      </c>
      <c r="K207" s="33"/>
      <c r="L207" s="33"/>
      <c r="M207" s="33"/>
      <c r="N207" s="33"/>
      <c r="O207" s="33"/>
      <c r="AK207" s="33">
        <f t="shared" si="22"/>
        <v>0</v>
      </c>
      <c r="AL207" s="33" t="e">
        <f t="shared" ca="1" si="23"/>
        <v>#REF!</v>
      </c>
      <c r="AM207" s="33" t="str">
        <f t="shared" si="24"/>
        <v/>
      </c>
      <c r="AN207" s="33" t="e">
        <f t="shared" ca="1" si="25"/>
        <v>#REF!</v>
      </c>
      <c r="AO207" s="174" t="e">
        <f t="shared" ca="1" si="26"/>
        <v>#REF!</v>
      </c>
      <c r="AP207" s="174" t="e">
        <f t="shared" ca="1" si="27"/>
        <v>#REF!</v>
      </c>
    </row>
    <row r="208" spans="1:42">
      <c r="A208" s="33" t="str">
        <f t="shared" si="21"/>
        <v/>
      </c>
      <c r="I208" s="33"/>
      <c r="J208" s="173" t="str" cm="1">
        <f t="array" aca="1" ref="J208" ca="1">IFERROR(_xlfn.IFS(OR(AL208&lt;&gt;"",AP208&lt;&gt;""),"STCOアサイン済",OR(AN208&lt;&gt;"",AO208&lt;&gt;""),"CHAT中"),"")</f>
        <v/>
      </c>
      <c r="K208" s="33"/>
      <c r="L208" s="33"/>
      <c r="M208" s="33"/>
      <c r="N208" s="33"/>
      <c r="O208" s="33"/>
      <c r="AK208" s="33">
        <f t="shared" si="22"/>
        <v>0</v>
      </c>
      <c r="AL208" s="33" t="e">
        <f t="shared" ca="1" si="23"/>
        <v>#REF!</v>
      </c>
      <c r="AM208" s="33" t="str">
        <f t="shared" si="24"/>
        <v/>
      </c>
      <c r="AN208" s="33" t="e">
        <f t="shared" ca="1" si="25"/>
        <v>#REF!</v>
      </c>
      <c r="AO208" s="174" t="e">
        <f t="shared" ca="1" si="26"/>
        <v>#REF!</v>
      </c>
      <c r="AP208" s="174" t="e">
        <f t="shared" ca="1" si="27"/>
        <v>#REF!</v>
      </c>
    </row>
    <row r="209" spans="1:42">
      <c r="A209" s="33" t="str">
        <f t="shared" si="21"/>
        <v/>
      </c>
      <c r="I209" s="33"/>
      <c r="J209" s="173" t="str" cm="1">
        <f t="array" aca="1" ref="J209" ca="1">IFERROR(_xlfn.IFS(OR(AL209&lt;&gt;"",AP209&lt;&gt;""),"STCOアサイン済",OR(AN209&lt;&gt;"",AO209&lt;&gt;""),"CHAT中"),"")</f>
        <v/>
      </c>
      <c r="K209" s="33"/>
      <c r="L209" s="33"/>
      <c r="M209" s="33"/>
      <c r="N209" s="33"/>
      <c r="O209" s="33"/>
      <c r="AK209" s="33">
        <f t="shared" si="22"/>
        <v>0</v>
      </c>
      <c r="AL209" s="33" t="e">
        <f t="shared" ca="1" si="23"/>
        <v>#REF!</v>
      </c>
      <c r="AM209" s="33" t="str">
        <f t="shared" si="24"/>
        <v/>
      </c>
      <c r="AN209" s="33" t="e">
        <f t="shared" ca="1" si="25"/>
        <v>#REF!</v>
      </c>
      <c r="AO209" s="174" t="e">
        <f t="shared" ca="1" si="26"/>
        <v>#REF!</v>
      </c>
      <c r="AP209" s="174" t="e">
        <f t="shared" ca="1" si="27"/>
        <v>#REF!</v>
      </c>
    </row>
    <row r="210" spans="1:42">
      <c r="A210" s="33" t="str">
        <f t="shared" si="21"/>
        <v/>
      </c>
      <c r="I210" s="33"/>
      <c r="J210" s="173" t="str" cm="1">
        <f t="array" aca="1" ref="J210" ca="1">IFERROR(_xlfn.IFS(OR(AL210&lt;&gt;"",AP210&lt;&gt;""),"STCOアサイン済",OR(AN210&lt;&gt;"",AO210&lt;&gt;""),"CHAT中"),"")</f>
        <v/>
      </c>
      <c r="K210" s="33"/>
      <c r="L210" s="33"/>
      <c r="M210" s="33"/>
      <c r="N210" s="33"/>
      <c r="O210" s="33"/>
      <c r="AK210" s="33">
        <f t="shared" si="22"/>
        <v>0</v>
      </c>
      <c r="AL210" s="33" t="e">
        <f t="shared" ca="1" si="23"/>
        <v>#REF!</v>
      </c>
      <c r="AM210" s="33" t="str">
        <f t="shared" si="24"/>
        <v/>
      </c>
      <c r="AN210" s="33" t="e">
        <f t="shared" ca="1" si="25"/>
        <v>#REF!</v>
      </c>
      <c r="AO210" s="174" t="e">
        <f t="shared" ca="1" si="26"/>
        <v>#REF!</v>
      </c>
      <c r="AP210" s="174" t="e">
        <f t="shared" ca="1" si="27"/>
        <v>#REF!</v>
      </c>
    </row>
    <row r="211" spans="1:42">
      <c r="A211" s="33" t="str">
        <f t="shared" si="21"/>
        <v/>
      </c>
      <c r="I211" s="33"/>
      <c r="J211" s="173" t="str" cm="1">
        <f t="array" aca="1" ref="J211" ca="1">IFERROR(_xlfn.IFS(OR(AL211&lt;&gt;"",AP211&lt;&gt;""),"STCOアサイン済",OR(AN211&lt;&gt;"",AO211&lt;&gt;""),"CHAT中"),"")</f>
        <v/>
      </c>
      <c r="K211" s="33"/>
      <c r="L211" s="33"/>
      <c r="M211" s="33"/>
      <c r="N211" s="33"/>
      <c r="O211" s="33"/>
      <c r="AK211" s="33">
        <f t="shared" si="22"/>
        <v>0</v>
      </c>
      <c r="AL211" s="33" t="e">
        <f t="shared" ca="1" si="23"/>
        <v>#REF!</v>
      </c>
      <c r="AM211" s="33" t="str">
        <f t="shared" si="24"/>
        <v/>
      </c>
      <c r="AN211" s="33" t="e">
        <f t="shared" ca="1" si="25"/>
        <v>#REF!</v>
      </c>
      <c r="AO211" s="174" t="e">
        <f t="shared" ca="1" si="26"/>
        <v>#REF!</v>
      </c>
      <c r="AP211" s="174" t="e">
        <f t="shared" ca="1" si="27"/>
        <v>#REF!</v>
      </c>
    </row>
    <row r="212" spans="1:42">
      <c r="A212" s="33" t="str">
        <f t="shared" si="21"/>
        <v/>
      </c>
      <c r="I212" s="33"/>
      <c r="J212" s="173" t="str" cm="1">
        <f t="array" aca="1" ref="J212" ca="1">IFERROR(_xlfn.IFS(OR(AL212&lt;&gt;"",AP212&lt;&gt;""),"STCOアサイン済",OR(AN212&lt;&gt;"",AO212&lt;&gt;""),"CHAT中"),"")</f>
        <v/>
      </c>
      <c r="K212" s="33"/>
      <c r="L212" s="33"/>
      <c r="M212" s="33"/>
      <c r="N212" s="33"/>
      <c r="O212" s="33"/>
      <c r="AK212" s="33">
        <f t="shared" si="22"/>
        <v>0</v>
      </c>
      <c r="AL212" s="33" t="e">
        <f t="shared" ca="1" si="23"/>
        <v>#REF!</v>
      </c>
      <c r="AM212" s="33" t="str">
        <f t="shared" si="24"/>
        <v/>
      </c>
      <c r="AN212" s="33" t="e">
        <f t="shared" ca="1" si="25"/>
        <v>#REF!</v>
      </c>
      <c r="AO212" s="174" t="e">
        <f t="shared" ca="1" si="26"/>
        <v>#REF!</v>
      </c>
      <c r="AP212" s="174" t="e">
        <f t="shared" ca="1" si="27"/>
        <v>#REF!</v>
      </c>
    </row>
    <row r="213" spans="1:42">
      <c r="A213" s="33" t="str">
        <f t="shared" si="21"/>
        <v/>
      </c>
      <c r="I213" s="33"/>
      <c r="J213" s="173" t="str" cm="1">
        <f t="array" aca="1" ref="J213" ca="1">IFERROR(_xlfn.IFS(OR(AL213&lt;&gt;"",AP213&lt;&gt;""),"STCOアサイン済",OR(AN213&lt;&gt;"",AO213&lt;&gt;""),"CHAT中"),"")</f>
        <v/>
      </c>
      <c r="K213" s="33"/>
      <c r="L213" s="33"/>
      <c r="M213" s="33"/>
      <c r="N213" s="33"/>
      <c r="O213" s="33"/>
      <c r="AK213" s="33">
        <f t="shared" si="22"/>
        <v>0</v>
      </c>
      <c r="AL213" s="33" t="e">
        <f t="shared" ca="1" si="23"/>
        <v>#REF!</v>
      </c>
      <c r="AM213" s="33" t="str">
        <f t="shared" si="24"/>
        <v/>
      </c>
      <c r="AN213" s="33" t="e">
        <f t="shared" ca="1" si="25"/>
        <v>#REF!</v>
      </c>
      <c r="AO213" s="174" t="e">
        <f t="shared" ca="1" si="26"/>
        <v>#REF!</v>
      </c>
      <c r="AP213" s="174" t="e">
        <f t="shared" ca="1" si="27"/>
        <v>#REF!</v>
      </c>
    </row>
    <row r="214" spans="1:42">
      <c r="A214" s="33" t="str">
        <f t="shared" si="21"/>
        <v/>
      </c>
      <c r="I214" s="33"/>
      <c r="J214" s="173" t="str" cm="1">
        <f t="array" aca="1" ref="J214" ca="1">IFERROR(_xlfn.IFS(OR(AL214&lt;&gt;"",AP214&lt;&gt;""),"STCOアサイン済",OR(AN214&lt;&gt;"",AO214&lt;&gt;""),"CHAT中"),"")</f>
        <v/>
      </c>
      <c r="K214" s="33"/>
      <c r="L214" s="33"/>
      <c r="M214" s="33"/>
      <c r="N214" s="33"/>
      <c r="O214" s="33"/>
      <c r="AK214" s="33">
        <f t="shared" si="22"/>
        <v>0</v>
      </c>
      <c r="AL214" s="33" t="e">
        <f t="shared" ca="1" si="23"/>
        <v>#REF!</v>
      </c>
      <c r="AM214" s="33" t="str">
        <f t="shared" si="24"/>
        <v/>
      </c>
      <c r="AN214" s="33" t="e">
        <f t="shared" ca="1" si="25"/>
        <v>#REF!</v>
      </c>
      <c r="AO214" s="174" t="e">
        <f t="shared" ca="1" si="26"/>
        <v>#REF!</v>
      </c>
      <c r="AP214" s="174" t="e">
        <f t="shared" ca="1" si="27"/>
        <v>#REF!</v>
      </c>
    </row>
    <row r="215" spans="1:42">
      <c r="A215" s="33" t="str">
        <f t="shared" si="21"/>
        <v/>
      </c>
      <c r="I215" s="33"/>
      <c r="J215" s="173" t="str" cm="1">
        <f t="array" aca="1" ref="J215" ca="1">IFERROR(_xlfn.IFS(OR(AL215&lt;&gt;"",AP215&lt;&gt;""),"STCOアサイン済",OR(AN215&lt;&gt;"",AO215&lt;&gt;""),"CHAT中"),"")</f>
        <v/>
      </c>
      <c r="K215" s="33"/>
      <c r="L215" s="33"/>
      <c r="M215" s="33"/>
      <c r="N215" s="33"/>
      <c r="O215" s="33"/>
      <c r="AK215" s="33">
        <f t="shared" si="22"/>
        <v>0</v>
      </c>
      <c r="AL215" s="33" t="e">
        <f t="shared" ca="1" si="23"/>
        <v>#REF!</v>
      </c>
      <c r="AM215" s="33" t="str">
        <f t="shared" si="24"/>
        <v/>
      </c>
      <c r="AN215" s="33" t="e">
        <f t="shared" ca="1" si="25"/>
        <v>#REF!</v>
      </c>
      <c r="AO215" s="174" t="e">
        <f t="shared" ca="1" si="26"/>
        <v>#REF!</v>
      </c>
      <c r="AP215" s="174" t="e">
        <f t="shared" ca="1" si="27"/>
        <v>#REF!</v>
      </c>
    </row>
    <row r="216" spans="1:42">
      <c r="A216" s="33" t="str">
        <f t="shared" si="21"/>
        <v/>
      </c>
      <c r="I216" s="33"/>
      <c r="J216" s="173" t="str" cm="1">
        <f t="array" aca="1" ref="J216" ca="1">IFERROR(_xlfn.IFS(OR(AL216&lt;&gt;"",AP216&lt;&gt;""),"STCOアサイン済",OR(AN216&lt;&gt;"",AO216&lt;&gt;""),"CHAT中"),"")</f>
        <v/>
      </c>
      <c r="K216" s="33"/>
      <c r="L216" s="33"/>
      <c r="M216" s="33"/>
      <c r="N216" s="33"/>
      <c r="O216" s="33"/>
      <c r="AK216" s="33">
        <f t="shared" si="22"/>
        <v>0</v>
      </c>
      <c r="AL216" s="33" t="e">
        <f t="shared" ca="1" si="23"/>
        <v>#REF!</v>
      </c>
      <c r="AM216" s="33" t="str">
        <f t="shared" si="24"/>
        <v/>
      </c>
      <c r="AN216" s="33" t="e">
        <f t="shared" ca="1" si="25"/>
        <v>#REF!</v>
      </c>
      <c r="AO216" s="174" t="e">
        <f t="shared" ca="1" si="26"/>
        <v>#REF!</v>
      </c>
      <c r="AP216" s="174" t="e">
        <f t="shared" ca="1" si="27"/>
        <v>#REF!</v>
      </c>
    </row>
    <row r="217" spans="1:42">
      <c r="A217" s="33" t="str">
        <f t="shared" si="21"/>
        <v/>
      </c>
      <c r="I217" s="33"/>
      <c r="J217" s="173" t="str" cm="1">
        <f t="array" aca="1" ref="J217" ca="1">IFERROR(_xlfn.IFS(OR(AL217&lt;&gt;"",AP217&lt;&gt;""),"STCOアサイン済",OR(AN217&lt;&gt;"",AO217&lt;&gt;""),"CHAT中"),"")</f>
        <v/>
      </c>
      <c r="K217" s="33"/>
      <c r="L217" s="33"/>
      <c r="M217" s="33"/>
      <c r="N217" s="33"/>
      <c r="O217" s="33"/>
      <c r="AK217" s="33">
        <f t="shared" si="22"/>
        <v>0</v>
      </c>
      <c r="AL217" s="33" t="e">
        <f t="shared" ca="1" si="23"/>
        <v>#REF!</v>
      </c>
      <c r="AM217" s="33" t="str">
        <f t="shared" si="24"/>
        <v/>
      </c>
      <c r="AN217" s="33" t="e">
        <f t="shared" ca="1" si="25"/>
        <v>#REF!</v>
      </c>
      <c r="AO217" s="174" t="e">
        <f t="shared" ca="1" si="26"/>
        <v>#REF!</v>
      </c>
      <c r="AP217" s="174" t="e">
        <f t="shared" ca="1" si="27"/>
        <v>#REF!</v>
      </c>
    </row>
    <row r="218" spans="1:42">
      <c r="A218" s="33" t="str">
        <f t="shared" si="21"/>
        <v/>
      </c>
      <c r="I218" s="33"/>
      <c r="J218" s="173" t="str" cm="1">
        <f t="array" aca="1" ref="J218" ca="1">IFERROR(_xlfn.IFS(OR(AL218&lt;&gt;"",AP218&lt;&gt;""),"STCOアサイン済",OR(AN218&lt;&gt;"",AO218&lt;&gt;""),"CHAT中"),"")</f>
        <v/>
      </c>
      <c r="K218" s="33"/>
      <c r="L218" s="33"/>
      <c r="M218" s="33"/>
      <c r="N218" s="33"/>
      <c r="O218" s="33"/>
      <c r="AK218" s="33">
        <f t="shared" si="22"/>
        <v>0</v>
      </c>
      <c r="AL218" s="33" t="e">
        <f t="shared" ca="1" si="23"/>
        <v>#REF!</v>
      </c>
      <c r="AM218" s="33" t="str">
        <f t="shared" si="24"/>
        <v/>
      </c>
      <c r="AN218" s="33" t="e">
        <f t="shared" ca="1" si="25"/>
        <v>#REF!</v>
      </c>
      <c r="AO218" s="174" t="e">
        <f t="shared" ca="1" si="26"/>
        <v>#REF!</v>
      </c>
      <c r="AP218" s="174" t="e">
        <f t="shared" ca="1" si="27"/>
        <v>#REF!</v>
      </c>
    </row>
    <row r="219" spans="1:42">
      <c r="A219" s="33" t="str">
        <f t="shared" si="21"/>
        <v/>
      </c>
      <c r="I219" s="33"/>
      <c r="J219" s="173" t="str" cm="1">
        <f t="array" aca="1" ref="J219" ca="1">IFERROR(_xlfn.IFS(OR(AL219&lt;&gt;"",AP219&lt;&gt;""),"STCOアサイン済",OR(AN219&lt;&gt;"",AO219&lt;&gt;""),"CHAT中"),"")</f>
        <v/>
      </c>
      <c r="K219" s="33"/>
      <c r="L219" s="33"/>
      <c r="M219" s="33"/>
      <c r="N219" s="33"/>
      <c r="O219" s="33"/>
      <c r="AK219" s="33">
        <f t="shared" si="22"/>
        <v>0</v>
      </c>
      <c r="AL219" s="33" t="e">
        <f t="shared" ca="1" si="23"/>
        <v>#REF!</v>
      </c>
      <c r="AM219" s="33" t="str">
        <f t="shared" si="24"/>
        <v/>
      </c>
      <c r="AN219" s="33" t="e">
        <f t="shared" ca="1" si="25"/>
        <v>#REF!</v>
      </c>
      <c r="AO219" s="174" t="e">
        <f t="shared" ca="1" si="26"/>
        <v>#REF!</v>
      </c>
      <c r="AP219" s="174" t="e">
        <f t="shared" ca="1" si="27"/>
        <v>#REF!</v>
      </c>
    </row>
    <row r="220" spans="1:42">
      <c r="A220" s="33" t="str">
        <f t="shared" si="21"/>
        <v/>
      </c>
      <c r="I220" s="33"/>
      <c r="J220" s="173" t="str" cm="1">
        <f t="array" aca="1" ref="J220" ca="1">IFERROR(_xlfn.IFS(OR(AL220&lt;&gt;"",AP220&lt;&gt;""),"STCOアサイン済",OR(AN220&lt;&gt;"",AO220&lt;&gt;""),"CHAT中"),"")</f>
        <v/>
      </c>
      <c r="K220" s="33"/>
      <c r="L220" s="33"/>
      <c r="M220" s="33"/>
      <c r="N220" s="33"/>
      <c r="O220" s="33"/>
      <c r="AK220" s="33">
        <f t="shared" si="22"/>
        <v>0</v>
      </c>
      <c r="AL220" s="33" t="e">
        <f t="shared" ca="1" si="23"/>
        <v>#REF!</v>
      </c>
      <c r="AM220" s="33" t="str">
        <f t="shared" si="24"/>
        <v/>
      </c>
      <c r="AN220" s="33" t="e">
        <f t="shared" ca="1" si="25"/>
        <v>#REF!</v>
      </c>
      <c r="AO220" s="174" t="e">
        <f t="shared" ca="1" si="26"/>
        <v>#REF!</v>
      </c>
      <c r="AP220" s="174" t="e">
        <f t="shared" ca="1" si="27"/>
        <v>#REF!</v>
      </c>
    </row>
    <row r="221" spans="1:42">
      <c r="A221" s="33" t="str">
        <f t="shared" si="21"/>
        <v/>
      </c>
      <c r="I221" s="33"/>
      <c r="J221" s="173" t="str" cm="1">
        <f t="array" aca="1" ref="J221" ca="1">IFERROR(_xlfn.IFS(OR(AL221&lt;&gt;"",AP221&lt;&gt;""),"STCOアサイン済",OR(AN221&lt;&gt;"",AO221&lt;&gt;""),"CHAT中"),"")</f>
        <v/>
      </c>
      <c r="K221" s="33"/>
      <c r="L221" s="33"/>
      <c r="M221" s="33"/>
      <c r="N221" s="33"/>
      <c r="O221" s="33"/>
      <c r="AK221" s="33">
        <f t="shared" si="22"/>
        <v>0</v>
      </c>
      <c r="AL221" s="33" t="e">
        <f t="shared" ca="1" si="23"/>
        <v>#REF!</v>
      </c>
      <c r="AM221" s="33" t="str">
        <f t="shared" si="24"/>
        <v/>
      </c>
      <c r="AN221" s="33" t="e">
        <f t="shared" ca="1" si="25"/>
        <v>#REF!</v>
      </c>
      <c r="AO221" s="174" t="e">
        <f t="shared" ca="1" si="26"/>
        <v>#REF!</v>
      </c>
      <c r="AP221" s="174" t="e">
        <f t="shared" ca="1" si="27"/>
        <v>#REF!</v>
      </c>
    </row>
    <row r="222" spans="1:42">
      <c r="A222" s="33" t="str">
        <f t="shared" si="21"/>
        <v/>
      </c>
      <c r="I222" s="33"/>
      <c r="J222" s="173" t="str" cm="1">
        <f t="array" aca="1" ref="J222" ca="1">IFERROR(_xlfn.IFS(OR(AL222&lt;&gt;"",AP222&lt;&gt;""),"STCOアサイン済",OR(AN222&lt;&gt;"",AO222&lt;&gt;""),"CHAT中"),"")</f>
        <v/>
      </c>
      <c r="K222" s="33"/>
      <c r="L222" s="33"/>
      <c r="M222" s="33"/>
      <c r="N222" s="33"/>
      <c r="O222" s="33"/>
      <c r="AK222" s="33">
        <f t="shared" si="22"/>
        <v>0</v>
      </c>
      <c r="AL222" s="33" t="e">
        <f t="shared" ca="1" si="23"/>
        <v>#REF!</v>
      </c>
      <c r="AM222" s="33" t="str">
        <f t="shared" si="24"/>
        <v/>
      </c>
      <c r="AN222" s="33" t="e">
        <f t="shared" ca="1" si="25"/>
        <v>#REF!</v>
      </c>
      <c r="AO222" s="174" t="e">
        <f t="shared" ca="1" si="26"/>
        <v>#REF!</v>
      </c>
      <c r="AP222" s="174" t="e">
        <f t="shared" ca="1" si="27"/>
        <v>#REF!</v>
      </c>
    </row>
    <row r="223" spans="1:42">
      <c r="A223" s="33" t="str">
        <f t="shared" si="21"/>
        <v/>
      </c>
      <c r="I223" s="33"/>
      <c r="J223" s="173" t="str" cm="1">
        <f t="array" aca="1" ref="J223" ca="1">IFERROR(_xlfn.IFS(OR(AL223&lt;&gt;"",AP223&lt;&gt;""),"STCOアサイン済",OR(AN223&lt;&gt;"",AO223&lt;&gt;""),"CHAT中"),"")</f>
        <v/>
      </c>
      <c r="K223" s="33"/>
      <c r="L223" s="33"/>
      <c r="M223" s="33"/>
      <c r="N223" s="33"/>
      <c r="O223" s="33"/>
      <c r="AK223" s="33">
        <f t="shared" si="22"/>
        <v>0</v>
      </c>
      <c r="AL223" s="33" t="e">
        <f t="shared" ca="1" si="23"/>
        <v>#REF!</v>
      </c>
      <c r="AM223" s="33" t="str">
        <f t="shared" si="24"/>
        <v/>
      </c>
      <c r="AN223" s="33" t="e">
        <f t="shared" ca="1" si="25"/>
        <v>#REF!</v>
      </c>
      <c r="AO223" s="174" t="e">
        <f t="shared" ca="1" si="26"/>
        <v>#REF!</v>
      </c>
      <c r="AP223" s="174" t="e">
        <f t="shared" ca="1" si="27"/>
        <v>#REF!</v>
      </c>
    </row>
    <row r="224" spans="1:42">
      <c r="A224" s="33" t="str">
        <f t="shared" si="21"/>
        <v/>
      </c>
      <c r="I224" s="33"/>
      <c r="J224" s="173" t="str" cm="1">
        <f t="array" aca="1" ref="J224" ca="1">IFERROR(_xlfn.IFS(OR(AL224&lt;&gt;"",AP224&lt;&gt;""),"STCOアサイン済",OR(AN224&lt;&gt;"",AO224&lt;&gt;""),"CHAT中"),"")</f>
        <v/>
      </c>
      <c r="K224" s="33"/>
      <c r="L224" s="33"/>
      <c r="M224" s="33"/>
      <c r="N224" s="33"/>
      <c r="O224" s="33"/>
      <c r="AK224" s="33">
        <f t="shared" si="22"/>
        <v>0</v>
      </c>
      <c r="AL224" s="33" t="e">
        <f t="shared" ca="1" si="23"/>
        <v>#REF!</v>
      </c>
      <c r="AM224" s="33" t="str">
        <f t="shared" si="24"/>
        <v/>
      </c>
      <c r="AN224" s="33" t="e">
        <f t="shared" ca="1" si="25"/>
        <v>#REF!</v>
      </c>
      <c r="AO224" s="174" t="e">
        <f t="shared" ca="1" si="26"/>
        <v>#REF!</v>
      </c>
      <c r="AP224" s="174" t="e">
        <f t="shared" ca="1" si="27"/>
        <v>#REF!</v>
      </c>
    </row>
    <row r="225" spans="1:42">
      <c r="A225" s="33" t="str">
        <f t="shared" si="21"/>
        <v/>
      </c>
      <c r="I225" s="33"/>
      <c r="J225" s="173" t="str" cm="1">
        <f t="array" aca="1" ref="J225" ca="1">IFERROR(_xlfn.IFS(OR(AL225&lt;&gt;"",AP225&lt;&gt;""),"STCOアサイン済",OR(AN225&lt;&gt;"",AO225&lt;&gt;""),"CHAT中"),"")</f>
        <v/>
      </c>
      <c r="K225" s="33"/>
      <c r="L225" s="33"/>
      <c r="M225" s="33"/>
      <c r="N225" s="33"/>
      <c r="O225" s="33"/>
      <c r="AK225" s="33">
        <f t="shared" si="22"/>
        <v>0</v>
      </c>
      <c r="AL225" s="33" t="e">
        <f t="shared" ca="1" si="23"/>
        <v>#REF!</v>
      </c>
      <c r="AM225" s="33" t="str">
        <f t="shared" si="24"/>
        <v/>
      </c>
      <c r="AN225" s="33" t="e">
        <f t="shared" ca="1" si="25"/>
        <v>#REF!</v>
      </c>
      <c r="AO225" s="174" t="e">
        <f t="shared" ca="1" si="26"/>
        <v>#REF!</v>
      </c>
      <c r="AP225" s="174" t="e">
        <f t="shared" ca="1" si="27"/>
        <v>#REF!</v>
      </c>
    </row>
    <row r="226" spans="1:42">
      <c r="A226" s="33" t="str">
        <f t="shared" si="21"/>
        <v/>
      </c>
      <c r="I226" s="33"/>
      <c r="J226" s="173" t="str" cm="1">
        <f t="array" aca="1" ref="J226" ca="1">IFERROR(_xlfn.IFS(OR(AL226&lt;&gt;"",AP226&lt;&gt;""),"STCOアサイン済",OR(AN226&lt;&gt;"",AO226&lt;&gt;""),"CHAT中"),"")</f>
        <v/>
      </c>
      <c r="K226" s="33"/>
      <c r="L226" s="33"/>
      <c r="M226" s="33"/>
      <c r="N226" s="33"/>
      <c r="O226" s="33"/>
      <c r="AK226" s="33">
        <f t="shared" si="22"/>
        <v>0</v>
      </c>
      <c r="AL226" s="33" t="e">
        <f t="shared" ca="1" si="23"/>
        <v>#REF!</v>
      </c>
      <c r="AM226" s="33" t="str">
        <f t="shared" si="24"/>
        <v/>
      </c>
      <c r="AN226" s="33" t="e">
        <f t="shared" ca="1" si="25"/>
        <v>#REF!</v>
      </c>
      <c r="AO226" s="174" t="e">
        <f t="shared" ca="1" si="26"/>
        <v>#REF!</v>
      </c>
      <c r="AP226" s="174" t="e">
        <f t="shared" ca="1" si="27"/>
        <v>#REF!</v>
      </c>
    </row>
    <row r="227" spans="1:42">
      <c r="A227" s="33" t="str">
        <f t="shared" si="21"/>
        <v/>
      </c>
      <c r="I227" s="33"/>
      <c r="J227" s="173" t="str" cm="1">
        <f t="array" aca="1" ref="J227" ca="1">IFERROR(_xlfn.IFS(OR(AL227&lt;&gt;"",AP227&lt;&gt;""),"STCOアサイン済",OR(AN227&lt;&gt;"",AO227&lt;&gt;""),"CHAT中"),"")</f>
        <v/>
      </c>
      <c r="K227" s="33"/>
      <c r="L227" s="33"/>
      <c r="M227" s="33"/>
      <c r="N227" s="33"/>
      <c r="O227" s="33"/>
      <c r="AK227" s="33">
        <f t="shared" si="22"/>
        <v>0</v>
      </c>
      <c r="AL227" s="33" t="e">
        <f t="shared" ca="1" si="23"/>
        <v>#REF!</v>
      </c>
      <c r="AM227" s="33" t="str">
        <f t="shared" si="24"/>
        <v/>
      </c>
      <c r="AN227" s="33" t="e">
        <f t="shared" ca="1" si="25"/>
        <v>#REF!</v>
      </c>
      <c r="AO227" s="174" t="e">
        <f t="shared" ca="1" si="26"/>
        <v>#REF!</v>
      </c>
      <c r="AP227" s="174" t="e">
        <f t="shared" ca="1" si="27"/>
        <v>#REF!</v>
      </c>
    </row>
    <row r="228" spans="1:42">
      <c r="A228" s="33" t="str">
        <f t="shared" si="21"/>
        <v/>
      </c>
      <c r="I228" s="33"/>
      <c r="J228" s="173" t="str" cm="1">
        <f t="array" aca="1" ref="J228" ca="1">IFERROR(_xlfn.IFS(OR(AL228&lt;&gt;"",AP228&lt;&gt;""),"STCOアサイン済",OR(AN228&lt;&gt;"",AO228&lt;&gt;""),"CHAT中"),"")</f>
        <v/>
      </c>
      <c r="K228" s="33"/>
      <c r="L228" s="33"/>
      <c r="M228" s="33"/>
      <c r="N228" s="33"/>
      <c r="O228" s="33"/>
      <c r="AK228" s="33">
        <f t="shared" si="22"/>
        <v>0</v>
      </c>
      <c r="AL228" s="33" t="e">
        <f t="shared" ca="1" si="23"/>
        <v>#REF!</v>
      </c>
      <c r="AM228" s="33" t="str">
        <f t="shared" si="24"/>
        <v/>
      </c>
      <c r="AN228" s="33" t="e">
        <f t="shared" ca="1" si="25"/>
        <v>#REF!</v>
      </c>
      <c r="AO228" s="174" t="e">
        <f t="shared" ca="1" si="26"/>
        <v>#REF!</v>
      </c>
      <c r="AP228" s="174" t="e">
        <f t="shared" ca="1" si="27"/>
        <v>#REF!</v>
      </c>
    </row>
    <row r="229" spans="1:42">
      <c r="A229" s="33" t="str">
        <f t="shared" si="21"/>
        <v/>
      </c>
      <c r="I229" s="33"/>
      <c r="J229" s="173" t="str" cm="1">
        <f t="array" aca="1" ref="J229" ca="1">IFERROR(_xlfn.IFS(OR(AL229&lt;&gt;"",AP229&lt;&gt;""),"STCOアサイン済",OR(AN229&lt;&gt;"",AO229&lt;&gt;""),"CHAT中"),"")</f>
        <v/>
      </c>
      <c r="K229" s="33"/>
      <c r="L229" s="33"/>
      <c r="M229" s="33"/>
      <c r="N229" s="33"/>
      <c r="O229" s="33"/>
      <c r="AK229" s="33">
        <f t="shared" si="22"/>
        <v>0</v>
      </c>
      <c r="AL229" s="33" t="e">
        <f t="shared" ca="1" si="23"/>
        <v>#REF!</v>
      </c>
      <c r="AM229" s="33" t="str">
        <f t="shared" si="24"/>
        <v/>
      </c>
      <c r="AN229" s="33" t="e">
        <f t="shared" ca="1" si="25"/>
        <v>#REF!</v>
      </c>
      <c r="AO229" s="174" t="e">
        <f t="shared" ca="1" si="26"/>
        <v>#REF!</v>
      </c>
      <c r="AP229" s="174" t="e">
        <f t="shared" ca="1" si="27"/>
        <v>#REF!</v>
      </c>
    </row>
    <row r="230" spans="1:42">
      <c r="A230" s="33" t="str">
        <f t="shared" si="21"/>
        <v/>
      </c>
      <c r="I230" s="33"/>
      <c r="J230" s="173" t="str" cm="1">
        <f t="array" aca="1" ref="J230" ca="1">IFERROR(_xlfn.IFS(OR(AL230&lt;&gt;"",AP230&lt;&gt;""),"STCOアサイン済",OR(AN230&lt;&gt;"",AO230&lt;&gt;""),"CHAT中"),"")</f>
        <v/>
      </c>
      <c r="K230" s="33"/>
      <c r="L230" s="33"/>
      <c r="M230" s="33"/>
      <c r="N230" s="33"/>
      <c r="O230" s="33"/>
      <c r="AK230" s="33">
        <f t="shared" si="22"/>
        <v>0</v>
      </c>
      <c r="AL230" s="33" t="e">
        <f t="shared" ca="1" si="23"/>
        <v>#REF!</v>
      </c>
      <c r="AM230" s="33" t="str">
        <f t="shared" si="24"/>
        <v/>
      </c>
      <c r="AN230" s="33" t="e">
        <f t="shared" ca="1" si="25"/>
        <v>#REF!</v>
      </c>
      <c r="AO230" s="174" t="e">
        <f t="shared" ca="1" si="26"/>
        <v>#REF!</v>
      </c>
      <c r="AP230" s="174" t="e">
        <f t="shared" ca="1" si="27"/>
        <v>#REF!</v>
      </c>
    </row>
    <row r="231" spans="1:42">
      <c r="A231" s="33" t="str">
        <f t="shared" si="21"/>
        <v/>
      </c>
      <c r="I231" s="33"/>
      <c r="J231" s="173" t="str" cm="1">
        <f t="array" aca="1" ref="J231" ca="1">IFERROR(_xlfn.IFS(OR(AL231&lt;&gt;"",AP231&lt;&gt;""),"STCOアサイン済",OR(AN231&lt;&gt;"",AO231&lt;&gt;""),"CHAT中"),"")</f>
        <v/>
      </c>
      <c r="K231" s="33"/>
      <c r="L231" s="33"/>
      <c r="M231" s="33"/>
      <c r="N231" s="33"/>
      <c r="O231" s="33"/>
      <c r="AK231" s="33">
        <f t="shared" si="22"/>
        <v>0</v>
      </c>
      <c r="AL231" s="33" t="e">
        <f t="shared" ca="1" si="23"/>
        <v>#REF!</v>
      </c>
      <c r="AM231" s="33" t="str">
        <f t="shared" si="24"/>
        <v/>
      </c>
      <c r="AN231" s="33" t="e">
        <f t="shared" ca="1" si="25"/>
        <v>#REF!</v>
      </c>
      <c r="AO231" s="174" t="e">
        <f t="shared" ca="1" si="26"/>
        <v>#REF!</v>
      </c>
      <c r="AP231" s="174" t="e">
        <f t="shared" ca="1" si="27"/>
        <v>#REF!</v>
      </c>
    </row>
    <row r="232" spans="1:42">
      <c r="A232" s="33" t="str">
        <f t="shared" si="21"/>
        <v/>
      </c>
      <c r="I232" s="33"/>
      <c r="J232" s="173" t="str" cm="1">
        <f t="array" aca="1" ref="J232" ca="1">IFERROR(_xlfn.IFS(OR(AL232&lt;&gt;"",AP232&lt;&gt;""),"STCOアサイン済",OR(AN232&lt;&gt;"",AO232&lt;&gt;""),"CHAT中"),"")</f>
        <v/>
      </c>
      <c r="K232" s="33"/>
      <c r="L232" s="33"/>
      <c r="M232" s="33"/>
      <c r="N232" s="33"/>
      <c r="O232" s="33"/>
      <c r="AK232" s="33">
        <f t="shared" si="22"/>
        <v>0</v>
      </c>
      <c r="AL232" s="33" t="e">
        <f t="shared" ca="1" si="23"/>
        <v>#REF!</v>
      </c>
      <c r="AM232" s="33" t="str">
        <f t="shared" si="24"/>
        <v/>
      </c>
      <c r="AN232" s="33" t="e">
        <f t="shared" ca="1" si="25"/>
        <v>#REF!</v>
      </c>
      <c r="AO232" s="174" t="e">
        <f t="shared" ca="1" si="26"/>
        <v>#REF!</v>
      </c>
      <c r="AP232" s="174" t="e">
        <f t="shared" ca="1" si="27"/>
        <v>#REF!</v>
      </c>
    </row>
    <row r="233" spans="1:42">
      <c r="A233" s="33" t="str">
        <f t="shared" si="21"/>
        <v/>
      </c>
      <c r="I233" s="33"/>
      <c r="J233" s="173" t="str" cm="1">
        <f t="array" aca="1" ref="J233" ca="1">IFERROR(_xlfn.IFS(OR(AL233&lt;&gt;"",AP233&lt;&gt;""),"STCOアサイン済",OR(AN233&lt;&gt;"",AO233&lt;&gt;""),"CHAT中"),"")</f>
        <v/>
      </c>
      <c r="K233" s="33"/>
      <c r="L233" s="33"/>
      <c r="M233" s="33"/>
      <c r="N233" s="33"/>
      <c r="O233" s="33"/>
      <c r="AK233" s="33">
        <f t="shared" si="22"/>
        <v>0</v>
      </c>
      <c r="AL233" s="33" t="e">
        <f t="shared" ca="1" si="23"/>
        <v>#REF!</v>
      </c>
      <c r="AM233" s="33" t="str">
        <f t="shared" si="24"/>
        <v/>
      </c>
      <c r="AN233" s="33" t="e">
        <f t="shared" ca="1" si="25"/>
        <v>#REF!</v>
      </c>
      <c r="AO233" s="174" t="e">
        <f t="shared" ca="1" si="26"/>
        <v>#REF!</v>
      </c>
      <c r="AP233" s="174" t="e">
        <f t="shared" ca="1" si="27"/>
        <v>#REF!</v>
      </c>
    </row>
    <row r="234" spans="1:42">
      <c r="A234" s="33" t="str">
        <f t="shared" si="21"/>
        <v/>
      </c>
      <c r="I234" s="33"/>
      <c r="J234" s="173" t="str" cm="1">
        <f t="array" aca="1" ref="J234" ca="1">IFERROR(_xlfn.IFS(OR(AL234&lt;&gt;"",AP234&lt;&gt;""),"STCOアサイン済",OR(AN234&lt;&gt;"",AO234&lt;&gt;""),"CHAT中"),"")</f>
        <v/>
      </c>
      <c r="K234" s="33"/>
      <c r="L234" s="33"/>
      <c r="M234" s="33"/>
      <c r="N234" s="33"/>
      <c r="O234" s="33"/>
      <c r="AK234" s="33">
        <f t="shared" si="22"/>
        <v>0</v>
      </c>
      <c r="AL234" s="33" t="e">
        <f t="shared" ca="1" si="23"/>
        <v>#REF!</v>
      </c>
      <c r="AM234" s="33" t="str">
        <f t="shared" si="24"/>
        <v/>
      </c>
      <c r="AN234" s="33" t="e">
        <f t="shared" ca="1" si="25"/>
        <v>#REF!</v>
      </c>
      <c r="AO234" s="174" t="e">
        <f t="shared" ca="1" si="26"/>
        <v>#REF!</v>
      </c>
      <c r="AP234" s="174" t="e">
        <f t="shared" ca="1" si="27"/>
        <v>#REF!</v>
      </c>
    </row>
    <row r="235" spans="1:42">
      <c r="A235" s="33" t="str">
        <f t="shared" si="21"/>
        <v/>
      </c>
      <c r="I235" s="33"/>
      <c r="J235" s="173" t="str" cm="1">
        <f t="array" aca="1" ref="J235" ca="1">IFERROR(_xlfn.IFS(OR(AL235&lt;&gt;"",AP235&lt;&gt;""),"STCOアサイン済",OR(AN235&lt;&gt;"",AO235&lt;&gt;""),"CHAT中"),"")</f>
        <v/>
      </c>
      <c r="K235" s="33"/>
      <c r="L235" s="33"/>
      <c r="M235" s="33"/>
      <c r="N235" s="33"/>
      <c r="O235" s="33"/>
      <c r="AK235" s="33">
        <f t="shared" si="22"/>
        <v>0</v>
      </c>
      <c r="AL235" s="33" t="e">
        <f t="shared" ca="1" si="23"/>
        <v>#REF!</v>
      </c>
      <c r="AM235" s="33" t="str">
        <f t="shared" si="24"/>
        <v/>
      </c>
      <c r="AN235" s="33" t="e">
        <f t="shared" ca="1" si="25"/>
        <v>#REF!</v>
      </c>
      <c r="AO235" s="174" t="e">
        <f t="shared" ca="1" si="26"/>
        <v>#REF!</v>
      </c>
      <c r="AP235" s="174" t="e">
        <f t="shared" ca="1" si="27"/>
        <v>#REF!</v>
      </c>
    </row>
    <row r="236" spans="1:42">
      <c r="A236" s="33" t="str">
        <f t="shared" si="21"/>
        <v/>
      </c>
      <c r="I236" s="33"/>
      <c r="J236" s="173" t="str" cm="1">
        <f t="array" aca="1" ref="J236" ca="1">IFERROR(_xlfn.IFS(OR(AL236&lt;&gt;"",AP236&lt;&gt;""),"STCOアサイン済",OR(AN236&lt;&gt;"",AO236&lt;&gt;""),"CHAT中"),"")</f>
        <v/>
      </c>
      <c r="K236" s="33"/>
      <c r="L236" s="33"/>
      <c r="M236" s="33"/>
      <c r="N236" s="33"/>
      <c r="O236" s="33"/>
      <c r="AK236" s="33">
        <f t="shared" si="22"/>
        <v>0</v>
      </c>
      <c r="AL236" s="33" t="e">
        <f t="shared" ca="1" si="23"/>
        <v>#REF!</v>
      </c>
      <c r="AM236" s="33" t="str">
        <f t="shared" si="24"/>
        <v/>
      </c>
      <c r="AN236" s="33" t="e">
        <f t="shared" ca="1" si="25"/>
        <v>#REF!</v>
      </c>
      <c r="AO236" s="174" t="e">
        <f t="shared" ca="1" si="26"/>
        <v>#REF!</v>
      </c>
      <c r="AP236" s="174" t="e">
        <f t="shared" ca="1" si="27"/>
        <v>#REF!</v>
      </c>
    </row>
    <row r="237" spans="1:42">
      <c r="A237" s="33" t="str">
        <f t="shared" si="21"/>
        <v/>
      </c>
      <c r="I237" s="33"/>
      <c r="J237" s="173" t="str" cm="1">
        <f t="array" aca="1" ref="J237" ca="1">IFERROR(_xlfn.IFS(OR(AL237&lt;&gt;"",AP237&lt;&gt;""),"STCOアサイン済",OR(AN237&lt;&gt;"",AO237&lt;&gt;""),"CHAT中"),"")</f>
        <v/>
      </c>
      <c r="K237" s="33"/>
      <c r="L237" s="33"/>
      <c r="M237" s="33"/>
      <c r="N237" s="33"/>
      <c r="O237" s="33"/>
      <c r="AK237" s="33">
        <f t="shared" si="22"/>
        <v>0</v>
      </c>
      <c r="AL237" s="33" t="e">
        <f t="shared" ca="1" si="23"/>
        <v>#REF!</v>
      </c>
      <c r="AM237" s="33" t="str">
        <f t="shared" si="24"/>
        <v/>
      </c>
      <c r="AN237" s="33" t="e">
        <f t="shared" ca="1" si="25"/>
        <v>#REF!</v>
      </c>
      <c r="AO237" s="174" t="e">
        <f t="shared" ca="1" si="26"/>
        <v>#REF!</v>
      </c>
      <c r="AP237" s="174" t="e">
        <f t="shared" ca="1" si="27"/>
        <v>#REF!</v>
      </c>
    </row>
    <row r="238" spans="1:42">
      <c r="A238" s="33" t="str">
        <f t="shared" si="21"/>
        <v/>
      </c>
      <c r="I238" s="33"/>
      <c r="J238" s="173" t="str" cm="1">
        <f t="array" aca="1" ref="J238" ca="1">IFERROR(_xlfn.IFS(OR(AL238&lt;&gt;"",AP238&lt;&gt;""),"STCOアサイン済",OR(AN238&lt;&gt;"",AO238&lt;&gt;""),"CHAT中"),"")</f>
        <v/>
      </c>
      <c r="K238" s="33"/>
      <c r="L238" s="33"/>
      <c r="M238" s="33"/>
      <c r="N238" s="33"/>
      <c r="O238" s="33"/>
      <c r="AK238" s="33">
        <f t="shared" si="22"/>
        <v>0</v>
      </c>
      <c r="AL238" s="33" t="e">
        <f t="shared" ca="1" si="23"/>
        <v>#REF!</v>
      </c>
      <c r="AM238" s="33" t="str">
        <f t="shared" si="24"/>
        <v/>
      </c>
      <c r="AN238" s="33" t="e">
        <f t="shared" ca="1" si="25"/>
        <v>#REF!</v>
      </c>
      <c r="AO238" s="174" t="e">
        <f t="shared" ca="1" si="26"/>
        <v>#REF!</v>
      </c>
      <c r="AP238" s="174" t="e">
        <f t="shared" ca="1" si="27"/>
        <v>#REF!</v>
      </c>
    </row>
    <row r="239" spans="1:42">
      <c r="A239" s="33" t="str">
        <f t="shared" si="21"/>
        <v/>
      </c>
      <c r="I239" s="33"/>
      <c r="J239" s="173" t="str" cm="1">
        <f t="array" aca="1" ref="J239" ca="1">IFERROR(_xlfn.IFS(OR(AL239&lt;&gt;"",AP239&lt;&gt;""),"STCOアサイン済",OR(AN239&lt;&gt;"",AO239&lt;&gt;""),"CHAT中"),"")</f>
        <v/>
      </c>
      <c r="K239" s="33"/>
      <c r="L239" s="33"/>
      <c r="M239" s="33"/>
      <c r="N239" s="33"/>
      <c r="O239" s="33"/>
      <c r="AK239" s="33">
        <f t="shared" si="22"/>
        <v>0</v>
      </c>
      <c r="AL239" s="33" t="e">
        <f t="shared" ca="1" si="23"/>
        <v>#REF!</v>
      </c>
      <c r="AM239" s="33" t="str">
        <f t="shared" si="24"/>
        <v/>
      </c>
      <c r="AN239" s="33" t="e">
        <f t="shared" ca="1" si="25"/>
        <v>#REF!</v>
      </c>
      <c r="AO239" s="174" t="e">
        <f t="shared" ca="1" si="26"/>
        <v>#REF!</v>
      </c>
      <c r="AP239" s="174" t="e">
        <f t="shared" ca="1" si="27"/>
        <v>#REF!</v>
      </c>
    </row>
    <row r="240" spans="1:42">
      <c r="A240" s="33" t="str">
        <f t="shared" si="21"/>
        <v/>
      </c>
      <c r="I240" s="33"/>
      <c r="J240" s="173" t="str" cm="1">
        <f t="array" aca="1" ref="J240" ca="1">IFERROR(_xlfn.IFS(OR(AL240&lt;&gt;"",AP240&lt;&gt;""),"STCOアサイン済",OR(AN240&lt;&gt;"",AO240&lt;&gt;""),"CHAT中"),"")</f>
        <v/>
      </c>
      <c r="K240" s="33"/>
      <c r="L240" s="33"/>
      <c r="M240" s="33"/>
      <c r="N240" s="33"/>
      <c r="O240" s="33"/>
      <c r="AK240" s="33">
        <f t="shared" si="22"/>
        <v>0</v>
      </c>
      <c r="AL240" s="33" t="e">
        <f t="shared" ca="1" si="23"/>
        <v>#REF!</v>
      </c>
      <c r="AM240" s="33" t="str">
        <f t="shared" si="24"/>
        <v/>
      </c>
      <c r="AN240" s="33" t="e">
        <f t="shared" ca="1" si="25"/>
        <v>#REF!</v>
      </c>
      <c r="AO240" s="174" t="e">
        <f t="shared" ca="1" si="26"/>
        <v>#REF!</v>
      </c>
      <c r="AP240" s="174" t="e">
        <f t="shared" ca="1" si="27"/>
        <v>#REF!</v>
      </c>
    </row>
    <row r="241" spans="1:42">
      <c r="A241" s="33" t="str">
        <f t="shared" si="21"/>
        <v/>
      </c>
      <c r="I241" s="33"/>
      <c r="J241" s="173" t="str" cm="1">
        <f t="array" aca="1" ref="J241" ca="1">IFERROR(_xlfn.IFS(OR(AL241&lt;&gt;"",AP241&lt;&gt;""),"STCOアサイン済",OR(AN241&lt;&gt;"",AO241&lt;&gt;""),"CHAT中"),"")</f>
        <v/>
      </c>
      <c r="K241" s="33"/>
      <c r="L241" s="33"/>
      <c r="M241" s="33"/>
      <c r="N241" s="33"/>
      <c r="O241" s="33"/>
      <c r="AK241" s="33">
        <f t="shared" si="22"/>
        <v>0</v>
      </c>
      <c r="AL241" s="33" t="e">
        <f t="shared" ca="1" si="23"/>
        <v>#REF!</v>
      </c>
      <c r="AM241" s="33" t="str">
        <f t="shared" si="24"/>
        <v/>
      </c>
      <c r="AN241" s="33" t="e">
        <f t="shared" ca="1" si="25"/>
        <v>#REF!</v>
      </c>
      <c r="AO241" s="174" t="e">
        <f t="shared" ca="1" si="26"/>
        <v>#REF!</v>
      </c>
      <c r="AP241" s="174" t="e">
        <f t="shared" ca="1" si="27"/>
        <v>#REF!</v>
      </c>
    </row>
    <row r="242" spans="1:42">
      <c r="A242" s="33" t="str">
        <f t="shared" si="21"/>
        <v/>
      </c>
      <c r="I242" s="33"/>
      <c r="J242" s="173" t="str" cm="1">
        <f t="array" aca="1" ref="J242" ca="1">IFERROR(_xlfn.IFS(OR(AL242&lt;&gt;"",AP242&lt;&gt;""),"STCOアサイン済",OR(AN242&lt;&gt;"",AO242&lt;&gt;""),"CHAT中"),"")</f>
        <v/>
      </c>
      <c r="K242" s="33"/>
      <c r="L242" s="33"/>
      <c r="M242" s="33"/>
      <c r="N242" s="33"/>
      <c r="O242" s="33"/>
      <c r="AK242" s="33">
        <f t="shared" si="22"/>
        <v>0</v>
      </c>
      <c r="AL242" s="33" t="e">
        <f t="shared" ca="1" si="23"/>
        <v>#REF!</v>
      </c>
      <c r="AM242" s="33" t="str">
        <f t="shared" si="24"/>
        <v/>
      </c>
      <c r="AN242" s="33" t="e">
        <f t="shared" ca="1" si="25"/>
        <v>#REF!</v>
      </c>
      <c r="AO242" s="174" t="e">
        <f t="shared" ca="1" si="26"/>
        <v>#REF!</v>
      </c>
      <c r="AP242" s="174" t="e">
        <f t="shared" ca="1" si="27"/>
        <v>#REF!</v>
      </c>
    </row>
    <row r="243" spans="1:42">
      <c r="A243" s="33" t="str">
        <f t="shared" si="21"/>
        <v/>
      </c>
      <c r="I243" s="33"/>
      <c r="J243" s="173" t="str" cm="1">
        <f t="array" aca="1" ref="J243" ca="1">IFERROR(_xlfn.IFS(OR(AL243&lt;&gt;"",AP243&lt;&gt;""),"STCOアサイン済",OR(AN243&lt;&gt;"",AO243&lt;&gt;""),"CHAT中"),"")</f>
        <v/>
      </c>
      <c r="K243" s="33"/>
      <c r="L243" s="33"/>
      <c r="M243" s="33"/>
      <c r="N243" s="33"/>
      <c r="O243" s="33"/>
      <c r="AK243" s="33">
        <f t="shared" si="22"/>
        <v>0</v>
      </c>
      <c r="AL243" s="33" t="e">
        <f t="shared" ca="1" si="23"/>
        <v>#REF!</v>
      </c>
      <c r="AM243" s="33" t="str">
        <f t="shared" si="24"/>
        <v/>
      </c>
      <c r="AN243" s="33" t="e">
        <f t="shared" ca="1" si="25"/>
        <v>#REF!</v>
      </c>
      <c r="AO243" s="174" t="e">
        <f t="shared" ca="1" si="26"/>
        <v>#REF!</v>
      </c>
      <c r="AP243" s="174" t="e">
        <f t="shared" ca="1" si="27"/>
        <v>#REF!</v>
      </c>
    </row>
    <row r="244" spans="1:42">
      <c r="A244" s="33" t="str">
        <f t="shared" si="21"/>
        <v/>
      </c>
      <c r="I244" s="33"/>
      <c r="J244" s="173" t="str" cm="1">
        <f t="array" aca="1" ref="J244" ca="1">IFERROR(_xlfn.IFS(OR(AL244&lt;&gt;"",AP244&lt;&gt;""),"STCOアサイン済",OR(AN244&lt;&gt;"",AO244&lt;&gt;""),"CHAT中"),"")</f>
        <v/>
      </c>
      <c r="K244" s="33"/>
      <c r="L244" s="33"/>
      <c r="M244" s="33"/>
      <c r="N244" s="33"/>
      <c r="O244" s="33"/>
      <c r="AK244" s="33">
        <f t="shared" si="22"/>
        <v>0</v>
      </c>
      <c r="AL244" s="33" t="e">
        <f t="shared" ca="1" si="23"/>
        <v>#REF!</v>
      </c>
      <c r="AM244" s="33" t="str">
        <f t="shared" si="24"/>
        <v/>
      </c>
      <c r="AN244" s="33" t="e">
        <f t="shared" ca="1" si="25"/>
        <v>#REF!</v>
      </c>
      <c r="AO244" s="174" t="e">
        <f t="shared" ca="1" si="26"/>
        <v>#REF!</v>
      </c>
      <c r="AP244" s="174" t="e">
        <f t="shared" ca="1" si="27"/>
        <v>#REF!</v>
      </c>
    </row>
    <row r="245" spans="1:42">
      <c r="A245" s="33" t="str">
        <f t="shared" si="21"/>
        <v/>
      </c>
      <c r="I245" s="33"/>
      <c r="J245" s="173" t="str" cm="1">
        <f t="array" aca="1" ref="J245" ca="1">IFERROR(_xlfn.IFS(OR(AL245&lt;&gt;"",AP245&lt;&gt;""),"STCOアサイン済",OR(AN245&lt;&gt;"",AO245&lt;&gt;""),"CHAT中"),"")</f>
        <v/>
      </c>
      <c r="K245" s="33"/>
      <c r="L245" s="33"/>
      <c r="M245" s="33"/>
      <c r="N245" s="33"/>
      <c r="O245" s="33"/>
      <c r="AK245" s="33">
        <f t="shared" si="22"/>
        <v>0</v>
      </c>
      <c r="AL245" s="33" t="e">
        <f t="shared" ca="1" si="23"/>
        <v>#REF!</v>
      </c>
      <c r="AM245" s="33" t="str">
        <f t="shared" si="24"/>
        <v/>
      </c>
      <c r="AN245" s="33" t="e">
        <f t="shared" ca="1" si="25"/>
        <v>#REF!</v>
      </c>
      <c r="AO245" s="174" t="e">
        <f t="shared" ca="1" si="26"/>
        <v>#REF!</v>
      </c>
      <c r="AP245" s="174" t="e">
        <f t="shared" ca="1" si="27"/>
        <v>#REF!</v>
      </c>
    </row>
    <row r="246" spans="1:42">
      <c r="A246" s="33" t="str">
        <f t="shared" si="21"/>
        <v/>
      </c>
      <c r="I246" s="33"/>
      <c r="J246" s="173" t="str" cm="1">
        <f t="array" aca="1" ref="J246" ca="1">IFERROR(_xlfn.IFS(OR(AL246&lt;&gt;"",AP246&lt;&gt;""),"STCOアサイン済",OR(AN246&lt;&gt;"",AO246&lt;&gt;""),"CHAT中"),"")</f>
        <v/>
      </c>
      <c r="K246" s="33"/>
      <c r="L246" s="33"/>
      <c r="M246" s="33"/>
      <c r="N246" s="33"/>
      <c r="O246" s="33"/>
      <c r="AK246" s="33">
        <f t="shared" si="22"/>
        <v>0</v>
      </c>
      <c r="AL246" s="33" t="e">
        <f t="shared" ca="1" si="23"/>
        <v>#REF!</v>
      </c>
      <c r="AM246" s="33" t="str">
        <f t="shared" si="24"/>
        <v/>
      </c>
      <c r="AN246" s="33" t="e">
        <f t="shared" ca="1" si="25"/>
        <v>#REF!</v>
      </c>
      <c r="AO246" s="174" t="e">
        <f t="shared" ca="1" si="26"/>
        <v>#REF!</v>
      </c>
      <c r="AP246" s="174" t="e">
        <f t="shared" ca="1" si="27"/>
        <v>#REF!</v>
      </c>
    </row>
    <row r="247" spans="1:42">
      <c r="A247" s="33" t="str">
        <f t="shared" si="21"/>
        <v/>
      </c>
      <c r="I247" s="33"/>
      <c r="J247" s="173" t="str" cm="1">
        <f t="array" aca="1" ref="J247" ca="1">IFERROR(_xlfn.IFS(OR(AL247&lt;&gt;"",AP247&lt;&gt;""),"STCOアサイン済",OR(AN247&lt;&gt;"",AO247&lt;&gt;""),"CHAT中"),"")</f>
        <v/>
      </c>
      <c r="K247" s="33"/>
      <c r="L247" s="33"/>
      <c r="M247" s="33"/>
      <c r="N247" s="33"/>
      <c r="O247" s="33"/>
      <c r="AK247" s="33">
        <f t="shared" si="22"/>
        <v>0</v>
      </c>
      <c r="AL247" s="33" t="e">
        <f t="shared" ca="1" si="23"/>
        <v>#REF!</v>
      </c>
      <c r="AM247" s="33" t="str">
        <f t="shared" si="24"/>
        <v/>
      </c>
      <c r="AN247" s="33" t="e">
        <f t="shared" ca="1" si="25"/>
        <v>#REF!</v>
      </c>
      <c r="AO247" s="174" t="e">
        <f t="shared" ca="1" si="26"/>
        <v>#REF!</v>
      </c>
      <c r="AP247" s="174" t="e">
        <f t="shared" ca="1" si="27"/>
        <v>#REF!</v>
      </c>
    </row>
    <row r="248" spans="1:42">
      <c r="A248" s="33" t="str">
        <f t="shared" si="21"/>
        <v/>
      </c>
      <c r="I248" s="33"/>
      <c r="J248" s="173" t="str" cm="1">
        <f t="array" aca="1" ref="J248" ca="1">IFERROR(_xlfn.IFS(OR(AL248&lt;&gt;"",AP248&lt;&gt;""),"STCOアサイン済",OR(AN248&lt;&gt;"",AO248&lt;&gt;""),"CHAT中"),"")</f>
        <v/>
      </c>
      <c r="K248" s="33"/>
      <c r="L248" s="33"/>
      <c r="M248" s="33"/>
      <c r="N248" s="33"/>
      <c r="O248" s="33"/>
      <c r="AK248" s="33">
        <f t="shared" si="22"/>
        <v>0</v>
      </c>
      <c r="AL248" s="33" t="e">
        <f t="shared" ca="1" si="23"/>
        <v>#REF!</v>
      </c>
      <c r="AM248" s="33" t="str">
        <f t="shared" si="24"/>
        <v/>
      </c>
      <c r="AN248" s="33" t="e">
        <f t="shared" ca="1" si="25"/>
        <v>#REF!</v>
      </c>
      <c r="AO248" s="174" t="e">
        <f t="shared" ca="1" si="26"/>
        <v>#REF!</v>
      </c>
      <c r="AP248" s="174" t="e">
        <f t="shared" ca="1" si="27"/>
        <v>#REF!</v>
      </c>
    </row>
    <row r="249" spans="1:42">
      <c r="A249" s="33" t="str">
        <f t="shared" si="21"/>
        <v/>
      </c>
      <c r="I249" s="33"/>
      <c r="J249" s="173" t="str" cm="1">
        <f t="array" aca="1" ref="J249" ca="1">IFERROR(_xlfn.IFS(OR(AL249&lt;&gt;"",AP249&lt;&gt;""),"STCOアサイン済",OR(AN249&lt;&gt;"",AO249&lt;&gt;""),"CHAT中"),"")</f>
        <v/>
      </c>
      <c r="K249" s="33"/>
      <c r="L249" s="33"/>
      <c r="M249" s="33"/>
      <c r="N249" s="33"/>
      <c r="O249" s="33"/>
      <c r="AK249" s="33">
        <f t="shared" si="22"/>
        <v>0</v>
      </c>
      <c r="AL249" s="33" t="e">
        <f t="shared" ca="1" si="23"/>
        <v>#REF!</v>
      </c>
      <c r="AM249" s="33" t="str">
        <f t="shared" si="24"/>
        <v/>
      </c>
      <c r="AN249" s="33" t="e">
        <f t="shared" ca="1" si="25"/>
        <v>#REF!</v>
      </c>
      <c r="AO249" s="174" t="e">
        <f t="shared" ca="1" si="26"/>
        <v>#REF!</v>
      </c>
      <c r="AP249" s="174" t="e">
        <f t="shared" ca="1" si="27"/>
        <v>#REF!</v>
      </c>
    </row>
    <row r="250" spans="1:42">
      <c r="A250" s="33" t="str">
        <f t="shared" si="21"/>
        <v/>
      </c>
      <c r="I250" s="33"/>
      <c r="J250" s="173" t="str" cm="1">
        <f t="array" aca="1" ref="J250" ca="1">IFERROR(_xlfn.IFS(OR(AL250&lt;&gt;"",AP250&lt;&gt;""),"STCOアサイン済",OR(AN250&lt;&gt;"",AO250&lt;&gt;""),"CHAT中"),"")</f>
        <v/>
      </c>
      <c r="K250" s="33"/>
      <c r="L250" s="33"/>
      <c r="M250" s="33"/>
      <c r="N250" s="33"/>
      <c r="O250" s="33"/>
      <c r="AK250" s="33">
        <f t="shared" si="22"/>
        <v>0</v>
      </c>
      <c r="AL250" s="33" t="e">
        <f t="shared" ca="1" si="23"/>
        <v>#REF!</v>
      </c>
      <c r="AM250" s="33" t="str">
        <f t="shared" si="24"/>
        <v/>
      </c>
      <c r="AN250" s="33" t="e">
        <f t="shared" ca="1" si="25"/>
        <v>#REF!</v>
      </c>
      <c r="AO250" s="174" t="e">
        <f t="shared" ca="1" si="26"/>
        <v>#REF!</v>
      </c>
      <c r="AP250" s="174" t="e">
        <f t="shared" ca="1" si="27"/>
        <v>#REF!</v>
      </c>
    </row>
    <row r="251" spans="1:42">
      <c r="A251" s="33" t="str">
        <f t="shared" si="21"/>
        <v/>
      </c>
      <c r="I251" s="33"/>
      <c r="J251" s="173" t="str" cm="1">
        <f t="array" aca="1" ref="J251" ca="1">IFERROR(_xlfn.IFS(OR(AL251&lt;&gt;"",AP251&lt;&gt;""),"STCOアサイン済",OR(AN251&lt;&gt;"",AO251&lt;&gt;""),"CHAT中"),"")</f>
        <v/>
      </c>
      <c r="K251" s="33"/>
      <c r="L251" s="33"/>
      <c r="M251" s="33"/>
      <c r="N251" s="33"/>
      <c r="O251" s="33"/>
      <c r="AK251" s="33">
        <f t="shared" si="22"/>
        <v>0</v>
      </c>
      <c r="AL251" s="33" t="e">
        <f t="shared" ca="1" si="23"/>
        <v>#REF!</v>
      </c>
      <c r="AM251" s="33" t="str">
        <f t="shared" si="24"/>
        <v/>
      </c>
      <c r="AN251" s="33" t="e">
        <f t="shared" ca="1" si="25"/>
        <v>#REF!</v>
      </c>
      <c r="AO251" s="174" t="e">
        <f t="shared" ca="1" si="26"/>
        <v>#REF!</v>
      </c>
      <c r="AP251" s="174" t="e">
        <f t="shared" ca="1" si="27"/>
        <v>#REF!</v>
      </c>
    </row>
    <row r="252" spans="1:42">
      <c r="A252" s="33" t="str">
        <f t="shared" si="21"/>
        <v/>
      </c>
      <c r="I252" s="33"/>
      <c r="J252" s="173" t="str" cm="1">
        <f t="array" aca="1" ref="J252" ca="1">IFERROR(_xlfn.IFS(OR(AL252&lt;&gt;"",AP252&lt;&gt;""),"STCOアサイン済",OR(AN252&lt;&gt;"",AO252&lt;&gt;""),"CHAT中"),"")</f>
        <v/>
      </c>
      <c r="K252" s="33"/>
      <c r="L252" s="33"/>
      <c r="M252" s="33"/>
      <c r="N252" s="33"/>
      <c r="O252" s="33"/>
      <c r="AK252" s="33">
        <f t="shared" si="22"/>
        <v>0</v>
      </c>
      <c r="AL252" s="33" t="e">
        <f t="shared" ca="1" si="23"/>
        <v>#REF!</v>
      </c>
      <c r="AM252" s="33" t="str">
        <f t="shared" si="24"/>
        <v/>
      </c>
      <c r="AN252" s="33" t="e">
        <f t="shared" ca="1" si="25"/>
        <v>#REF!</v>
      </c>
      <c r="AO252" s="174" t="e">
        <f t="shared" ca="1" si="26"/>
        <v>#REF!</v>
      </c>
      <c r="AP252" s="174" t="e">
        <f t="shared" ca="1" si="27"/>
        <v>#REF!</v>
      </c>
    </row>
    <row r="253" spans="1:42">
      <c r="A253" s="33" t="str">
        <f t="shared" si="21"/>
        <v/>
      </c>
      <c r="I253" s="33"/>
      <c r="J253" s="173" t="str" cm="1">
        <f t="array" aca="1" ref="J253" ca="1">IFERROR(_xlfn.IFS(OR(AL253&lt;&gt;"",AP253&lt;&gt;""),"STCOアサイン済",OR(AN253&lt;&gt;"",AO253&lt;&gt;""),"CHAT中"),"")</f>
        <v/>
      </c>
      <c r="K253" s="33"/>
      <c r="L253" s="33"/>
      <c r="M253" s="33"/>
      <c r="N253" s="33"/>
      <c r="O253" s="33"/>
      <c r="AK253" s="33">
        <f t="shared" si="22"/>
        <v>0</v>
      </c>
      <c r="AL253" s="33" t="e">
        <f t="shared" ca="1" si="23"/>
        <v>#REF!</v>
      </c>
      <c r="AM253" s="33" t="str">
        <f t="shared" si="24"/>
        <v/>
      </c>
      <c r="AN253" s="33" t="e">
        <f t="shared" ca="1" si="25"/>
        <v>#REF!</v>
      </c>
      <c r="AO253" s="174" t="e">
        <f t="shared" ca="1" si="26"/>
        <v>#REF!</v>
      </c>
      <c r="AP253" s="174" t="e">
        <f t="shared" ca="1" si="27"/>
        <v>#REF!</v>
      </c>
    </row>
    <row r="254" spans="1:42">
      <c r="A254" s="33" t="str">
        <f t="shared" si="21"/>
        <v/>
      </c>
      <c r="I254" s="33"/>
      <c r="J254" s="173" t="str" cm="1">
        <f t="array" aca="1" ref="J254" ca="1">IFERROR(_xlfn.IFS(OR(AL254&lt;&gt;"",AP254&lt;&gt;""),"STCOアサイン済",OR(AN254&lt;&gt;"",AO254&lt;&gt;""),"CHAT中"),"")</f>
        <v/>
      </c>
      <c r="K254" s="33"/>
      <c r="L254" s="33"/>
      <c r="M254" s="33"/>
      <c r="N254" s="33"/>
      <c r="O254" s="33"/>
      <c r="AK254" s="33">
        <f t="shared" si="22"/>
        <v>0</v>
      </c>
      <c r="AL254" s="33" t="e">
        <f t="shared" ca="1" si="23"/>
        <v>#REF!</v>
      </c>
      <c r="AM254" s="33" t="str">
        <f t="shared" si="24"/>
        <v/>
      </c>
      <c r="AN254" s="33" t="e">
        <f t="shared" ca="1" si="25"/>
        <v>#REF!</v>
      </c>
      <c r="AO254" s="174" t="e">
        <f t="shared" ca="1" si="26"/>
        <v>#REF!</v>
      </c>
      <c r="AP254" s="174" t="e">
        <f t="shared" ca="1" si="27"/>
        <v>#REF!</v>
      </c>
    </row>
    <row r="255" spans="1:42">
      <c r="A255" s="33" t="str">
        <f t="shared" si="21"/>
        <v/>
      </c>
      <c r="I255" s="33"/>
      <c r="J255" s="173" t="str" cm="1">
        <f t="array" aca="1" ref="J255" ca="1">IFERROR(_xlfn.IFS(OR(AL255&lt;&gt;"",AP255&lt;&gt;""),"STCOアサイン済",OR(AN255&lt;&gt;"",AO255&lt;&gt;""),"CHAT中"),"")</f>
        <v/>
      </c>
      <c r="K255" s="33"/>
      <c r="L255" s="33"/>
      <c r="M255" s="33"/>
      <c r="N255" s="33"/>
      <c r="O255" s="33"/>
      <c r="AK255" s="33">
        <f t="shared" si="22"/>
        <v>0</v>
      </c>
      <c r="AL255" s="33" t="e">
        <f t="shared" ca="1" si="23"/>
        <v>#REF!</v>
      </c>
      <c r="AM255" s="33" t="str">
        <f t="shared" si="24"/>
        <v/>
      </c>
      <c r="AN255" s="33" t="e">
        <f t="shared" ca="1" si="25"/>
        <v>#REF!</v>
      </c>
      <c r="AO255" s="174" t="e">
        <f t="shared" ca="1" si="26"/>
        <v>#REF!</v>
      </c>
      <c r="AP255" s="174" t="e">
        <f t="shared" ca="1" si="27"/>
        <v>#REF!</v>
      </c>
    </row>
    <row r="256" spans="1:42">
      <c r="A256" s="33" t="str">
        <f t="shared" si="21"/>
        <v/>
      </c>
      <c r="I256" s="33"/>
      <c r="J256" s="173" t="str" cm="1">
        <f t="array" aca="1" ref="J256" ca="1">IFERROR(_xlfn.IFS(OR(AL256&lt;&gt;"",AP256&lt;&gt;""),"STCOアサイン済",OR(AN256&lt;&gt;"",AO256&lt;&gt;""),"CHAT中"),"")</f>
        <v/>
      </c>
      <c r="K256" s="33"/>
      <c r="L256" s="33"/>
      <c r="M256" s="33"/>
      <c r="N256" s="33"/>
      <c r="O256" s="33"/>
      <c r="AK256" s="33">
        <f t="shared" si="22"/>
        <v>0</v>
      </c>
      <c r="AL256" s="33" t="e">
        <f t="shared" ca="1" si="23"/>
        <v>#REF!</v>
      </c>
      <c r="AM256" s="33" t="str">
        <f t="shared" si="24"/>
        <v/>
      </c>
      <c r="AN256" s="33" t="e">
        <f t="shared" ca="1" si="25"/>
        <v>#REF!</v>
      </c>
      <c r="AO256" s="174" t="e">
        <f t="shared" ca="1" si="26"/>
        <v>#REF!</v>
      </c>
      <c r="AP256" s="174" t="e">
        <f t="shared" ca="1" si="27"/>
        <v>#REF!</v>
      </c>
    </row>
    <row r="257" spans="1:42">
      <c r="A257" s="33" t="str">
        <f t="shared" si="21"/>
        <v/>
      </c>
      <c r="I257" s="33"/>
      <c r="J257" s="173" t="str" cm="1">
        <f t="array" aca="1" ref="J257" ca="1">IFERROR(_xlfn.IFS(OR(AL257&lt;&gt;"",AP257&lt;&gt;""),"STCOアサイン済",OR(AN257&lt;&gt;"",AO257&lt;&gt;""),"CHAT中"),"")</f>
        <v/>
      </c>
      <c r="K257" s="33"/>
      <c r="L257" s="33"/>
      <c r="M257" s="33"/>
      <c r="N257" s="33"/>
      <c r="O257" s="33"/>
      <c r="AK257" s="33">
        <f t="shared" si="22"/>
        <v>0</v>
      </c>
      <c r="AL257" s="33" t="e">
        <f t="shared" ca="1" si="23"/>
        <v>#REF!</v>
      </c>
      <c r="AM257" s="33" t="str">
        <f t="shared" si="24"/>
        <v/>
      </c>
      <c r="AN257" s="33" t="e">
        <f t="shared" ca="1" si="25"/>
        <v>#REF!</v>
      </c>
      <c r="AO257" s="174" t="e">
        <f t="shared" ca="1" si="26"/>
        <v>#REF!</v>
      </c>
      <c r="AP257" s="174" t="e">
        <f t="shared" ca="1" si="27"/>
        <v>#REF!</v>
      </c>
    </row>
    <row r="258" spans="1:42">
      <c r="A258" s="33" t="str">
        <f t="shared" si="21"/>
        <v/>
      </c>
      <c r="I258" s="33"/>
      <c r="J258" s="173" t="str" cm="1">
        <f t="array" aca="1" ref="J258" ca="1">IFERROR(_xlfn.IFS(OR(AL258&lt;&gt;"",AP258&lt;&gt;""),"STCOアサイン済",OR(AN258&lt;&gt;"",AO258&lt;&gt;""),"CHAT中"),"")</f>
        <v/>
      </c>
      <c r="K258" s="33"/>
      <c r="L258" s="33"/>
      <c r="M258" s="33"/>
      <c r="N258" s="33"/>
      <c r="O258" s="33"/>
      <c r="AK258" s="33">
        <f t="shared" si="22"/>
        <v>0</v>
      </c>
      <c r="AL258" s="33" t="e">
        <f t="shared" ca="1" si="23"/>
        <v>#REF!</v>
      </c>
      <c r="AM258" s="33" t="str">
        <f t="shared" si="24"/>
        <v/>
      </c>
      <c r="AN258" s="33" t="e">
        <f t="shared" ca="1" si="25"/>
        <v>#REF!</v>
      </c>
      <c r="AO258" s="174" t="e">
        <f t="shared" ca="1" si="26"/>
        <v>#REF!</v>
      </c>
      <c r="AP258" s="174" t="e">
        <f t="shared" ca="1" si="27"/>
        <v>#REF!</v>
      </c>
    </row>
    <row r="259" spans="1:42">
      <c r="A259" s="33" t="str">
        <f t="shared" si="21"/>
        <v/>
      </c>
      <c r="I259" s="33"/>
      <c r="J259" s="173" t="str" cm="1">
        <f t="array" aca="1" ref="J259" ca="1">IFERROR(_xlfn.IFS(OR(AL259&lt;&gt;"",AP259&lt;&gt;""),"STCOアサイン済",OR(AN259&lt;&gt;"",AO259&lt;&gt;""),"CHAT中"),"")</f>
        <v/>
      </c>
      <c r="K259" s="33"/>
      <c r="L259" s="33"/>
      <c r="M259" s="33"/>
      <c r="N259" s="33"/>
      <c r="O259" s="33"/>
      <c r="AK259" s="33">
        <f t="shared" si="22"/>
        <v>0</v>
      </c>
      <c r="AL259" s="33" t="e">
        <f t="shared" ca="1" si="23"/>
        <v>#REF!</v>
      </c>
      <c r="AM259" s="33" t="str">
        <f t="shared" si="24"/>
        <v/>
      </c>
      <c r="AN259" s="33" t="e">
        <f t="shared" ca="1" si="25"/>
        <v>#REF!</v>
      </c>
      <c r="AO259" s="174" t="e">
        <f t="shared" ca="1" si="26"/>
        <v>#REF!</v>
      </c>
      <c r="AP259" s="174" t="e">
        <f t="shared" ca="1" si="27"/>
        <v>#REF!</v>
      </c>
    </row>
    <row r="260" spans="1:42">
      <c r="A260" s="33" t="str">
        <f t="shared" si="21"/>
        <v/>
      </c>
      <c r="I260" s="33"/>
      <c r="J260" s="173" t="str" cm="1">
        <f t="array" aca="1" ref="J260" ca="1">IFERROR(_xlfn.IFS(OR(AL260&lt;&gt;"",AP260&lt;&gt;""),"STCOアサイン済",OR(AN260&lt;&gt;"",AO260&lt;&gt;""),"CHAT中"),"")</f>
        <v/>
      </c>
      <c r="K260" s="33"/>
      <c r="L260" s="33"/>
      <c r="M260" s="33"/>
      <c r="N260" s="33"/>
      <c r="O260" s="33"/>
      <c r="AK260" s="33">
        <f t="shared" si="22"/>
        <v>0</v>
      </c>
      <c r="AL260" s="33" t="e">
        <f t="shared" ca="1" si="23"/>
        <v>#REF!</v>
      </c>
      <c r="AM260" s="33" t="str">
        <f t="shared" si="24"/>
        <v/>
      </c>
      <c r="AN260" s="33" t="e">
        <f t="shared" ca="1" si="25"/>
        <v>#REF!</v>
      </c>
      <c r="AO260" s="174" t="e">
        <f t="shared" ca="1" si="26"/>
        <v>#REF!</v>
      </c>
      <c r="AP260" s="174" t="e">
        <f t="shared" ca="1" si="27"/>
        <v>#REF!</v>
      </c>
    </row>
    <row r="261" spans="1:42">
      <c r="A261" s="33" t="str">
        <f t="shared" si="21"/>
        <v/>
      </c>
      <c r="I261" s="33"/>
      <c r="J261" s="173" t="str" cm="1">
        <f t="array" aca="1" ref="J261" ca="1">IFERROR(_xlfn.IFS(OR(AL261&lt;&gt;"",AP261&lt;&gt;""),"STCOアサイン済",OR(AN261&lt;&gt;"",AO261&lt;&gt;""),"CHAT中"),"")</f>
        <v/>
      </c>
      <c r="K261" s="33"/>
      <c r="L261" s="33"/>
      <c r="M261" s="33"/>
      <c r="N261" s="33"/>
      <c r="O261" s="33"/>
      <c r="AK261" s="33">
        <f t="shared" si="22"/>
        <v>0</v>
      </c>
      <c r="AL261" s="33" t="e">
        <f t="shared" ca="1" si="23"/>
        <v>#REF!</v>
      </c>
      <c r="AM261" s="33" t="str">
        <f t="shared" si="24"/>
        <v/>
      </c>
      <c r="AN261" s="33" t="e">
        <f t="shared" ca="1" si="25"/>
        <v>#REF!</v>
      </c>
      <c r="AO261" s="174" t="e">
        <f t="shared" ca="1" si="26"/>
        <v>#REF!</v>
      </c>
      <c r="AP261" s="174" t="e">
        <f t="shared" ca="1" si="27"/>
        <v>#REF!</v>
      </c>
    </row>
    <row r="262" spans="1:42">
      <c r="A262" s="33" t="str">
        <f t="shared" si="21"/>
        <v/>
      </c>
      <c r="I262" s="33"/>
      <c r="J262" s="173" t="str" cm="1">
        <f t="array" aca="1" ref="J262" ca="1">IFERROR(_xlfn.IFS(OR(AL262&lt;&gt;"",AP262&lt;&gt;""),"STCOアサイン済",OR(AN262&lt;&gt;"",AO262&lt;&gt;""),"CHAT中"),"")</f>
        <v/>
      </c>
      <c r="K262" s="33"/>
      <c r="L262" s="33"/>
      <c r="M262" s="33"/>
      <c r="N262" s="33"/>
      <c r="O262" s="33"/>
      <c r="AK262" s="33">
        <f t="shared" si="22"/>
        <v>0</v>
      </c>
      <c r="AL262" s="33" t="e">
        <f t="shared" ca="1" si="23"/>
        <v>#REF!</v>
      </c>
      <c r="AM262" s="33" t="str">
        <f t="shared" si="24"/>
        <v/>
      </c>
      <c r="AN262" s="33" t="e">
        <f t="shared" ca="1" si="25"/>
        <v>#REF!</v>
      </c>
      <c r="AO262" s="174" t="e">
        <f t="shared" ca="1" si="26"/>
        <v>#REF!</v>
      </c>
      <c r="AP262" s="174" t="e">
        <f t="shared" ca="1" si="27"/>
        <v>#REF!</v>
      </c>
    </row>
    <row r="263" spans="1:42">
      <c r="A263" s="33" t="str">
        <f t="shared" si="21"/>
        <v/>
      </c>
      <c r="I263" s="33"/>
      <c r="J263" s="173" t="str" cm="1">
        <f t="array" aca="1" ref="J263" ca="1">IFERROR(_xlfn.IFS(OR(AL263&lt;&gt;"",AP263&lt;&gt;""),"STCOアサイン済",OR(AN263&lt;&gt;"",AO263&lt;&gt;""),"CHAT中"),"")</f>
        <v/>
      </c>
      <c r="K263" s="33"/>
      <c r="L263" s="33"/>
      <c r="M263" s="33"/>
      <c r="N263" s="33"/>
      <c r="O263" s="33"/>
      <c r="AK263" s="33">
        <f t="shared" si="22"/>
        <v>0</v>
      </c>
      <c r="AL263" s="33" t="e">
        <f t="shared" ca="1" si="23"/>
        <v>#REF!</v>
      </c>
      <c r="AM263" s="33" t="str">
        <f t="shared" si="24"/>
        <v/>
      </c>
      <c r="AN263" s="33" t="e">
        <f t="shared" ca="1" si="25"/>
        <v>#REF!</v>
      </c>
      <c r="AO263" s="174" t="e">
        <f t="shared" ca="1" si="26"/>
        <v>#REF!</v>
      </c>
      <c r="AP263" s="174" t="e">
        <f t="shared" ca="1" si="27"/>
        <v>#REF!</v>
      </c>
    </row>
    <row r="264" spans="1:42">
      <c r="A264" s="33" t="str">
        <f t="shared" ref="A264:A327" si="28">IF(ISBLANK($I264), "", _xlfn.IFS($I264&gt;10, "DS", $I264&lt;=10, "未定"))</f>
        <v/>
      </c>
      <c r="I264" s="33"/>
      <c r="J264" s="173" t="str" cm="1">
        <f t="array" aca="1" ref="J264" ca="1">IFERROR(_xlfn.IFS(OR(AL264&lt;&gt;"",AP264&lt;&gt;""),"STCOアサイン済",OR(AN264&lt;&gt;"",AO264&lt;&gt;""),"CHAT中"),"")</f>
        <v/>
      </c>
      <c r="K264" s="33"/>
      <c r="L264" s="33"/>
      <c r="M264" s="33"/>
      <c r="N264" s="33"/>
      <c r="O264" s="33"/>
      <c r="AK264" s="33">
        <f t="shared" si="22"/>
        <v>0</v>
      </c>
      <c r="AL264" s="33" t="e">
        <f t="shared" ca="1" si="23"/>
        <v>#REF!</v>
      </c>
      <c r="AM264" s="33" t="str">
        <f t="shared" si="24"/>
        <v/>
      </c>
      <c r="AN264" s="33" t="e">
        <f t="shared" ca="1" si="25"/>
        <v>#REF!</v>
      </c>
      <c r="AO264" s="174" t="e">
        <f t="shared" ca="1" si="26"/>
        <v>#REF!</v>
      </c>
      <c r="AP264" s="174" t="e">
        <f t="shared" ca="1" si="27"/>
        <v>#REF!</v>
      </c>
    </row>
    <row r="265" spans="1:42">
      <c r="A265" s="33" t="str">
        <f t="shared" si="28"/>
        <v/>
      </c>
      <c r="I265" s="33"/>
      <c r="J265" s="173" t="str" cm="1">
        <f t="array" aca="1" ref="J265" ca="1">IFERROR(_xlfn.IFS(OR(AL265&lt;&gt;"",AP265&lt;&gt;""),"STCOアサイン済",OR(AN265&lt;&gt;"",AO265&lt;&gt;""),"CHAT中"),"")</f>
        <v/>
      </c>
      <c r="K265" s="33"/>
      <c r="L265" s="33"/>
      <c r="M265" s="33"/>
      <c r="N265" s="33"/>
      <c r="O265" s="33"/>
      <c r="AK265" s="33">
        <f t="shared" ref="AK265:AK328" si="29">C265</f>
        <v>0</v>
      </c>
      <c r="AL265" s="33" t="e">
        <f t="shared" ref="AL265:AL328" ca="1" si="30">IF(SUMIF(INDIRECT($AL$7&amp;"!$AM$5:$AM$800"),C265&amp;$AL$6,INDIRECT($AL$7&amp;"!$AN$5:$AN$800"))&lt;=0,"")</f>
        <v>#REF!</v>
      </c>
      <c r="AM265" s="33" t="str">
        <f t="shared" ref="AM265:AM328" si="31">IF(A265="","",A265)</f>
        <v/>
      </c>
      <c r="AN265" s="33" t="e">
        <f t="shared" ref="AN265:AN328" ca="1" si="32">IF(SUMIF(INDIRECT($AL$7&amp;"!$AM$5:$AM$800"),C265&amp;$AL$6,INDIRECT($AL$7&amp;"!$AO$5:$AO$800"))=0,"")</f>
        <v>#REF!</v>
      </c>
      <c r="AO265" s="174" t="e">
        <f t="shared" ref="AO265:AO328" ca="1" si="33">IF(SUMIF(INDIRECT($AL$7&amp;"!$AR$5:$AR$800"),C265&amp;$AL$6,INDIRECT($AL$7&amp;"!$AO$5:$AO$800"))=0,"")</f>
        <v>#REF!</v>
      </c>
      <c r="AP265" s="174" t="e">
        <f t="shared" ref="AP265:AP328" ca="1" si="34">IF(SUMIF(INDIRECT($AL$7&amp;"!$AR$5:$AR$800"),C265&amp;$AL$6,INDIRECT($AL$7&amp;"!$AN$5:$AN$800"))&lt;=0,"")</f>
        <v>#REF!</v>
      </c>
    </row>
    <row r="266" spans="1:42">
      <c r="A266" s="33" t="str">
        <f t="shared" si="28"/>
        <v/>
      </c>
      <c r="I266" s="33"/>
      <c r="J266" s="173" t="str" cm="1">
        <f t="array" aca="1" ref="J266" ca="1">IFERROR(_xlfn.IFS(OR(AL266&lt;&gt;"",AP266&lt;&gt;""),"STCOアサイン済",OR(AN266&lt;&gt;"",AO266&lt;&gt;""),"CHAT中"),"")</f>
        <v/>
      </c>
      <c r="K266" s="33"/>
      <c r="L266" s="33"/>
      <c r="M266" s="33"/>
      <c r="N266" s="33"/>
      <c r="O266" s="33"/>
      <c r="AK266" s="33">
        <f t="shared" si="29"/>
        <v>0</v>
      </c>
      <c r="AL266" s="33" t="e">
        <f t="shared" ca="1" si="30"/>
        <v>#REF!</v>
      </c>
      <c r="AM266" s="33" t="str">
        <f t="shared" si="31"/>
        <v/>
      </c>
      <c r="AN266" s="33" t="e">
        <f t="shared" ca="1" si="32"/>
        <v>#REF!</v>
      </c>
      <c r="AO266" s="174" t="e">
        <f t="shared" ca="1" si="33"/>
        <v>#REF!</v>
      </c>
      <c r="AP266" s="174" t="e">
        <f t="shared" ca="1" si="34"/>
        <v>#REF!</v>
      </c>
    </row>
    <row r="267" spans="1:42">
      <c r="A267" s="33" t="str">
        <f t="shared" si="28"/>
        <v/>
      </c>
      <c r="I267" s="33"/>
      <c r="J267" s="173" t="str" cm="1">
        <f t="array" aca="1" ref="J267" ca="1">IFERROR(_xlfn.IFS(OR(AL267&lt;&gt;"",AP267&lt;&gt;""),"STCOアサイン済",OR(AN267&lt;&gt;"",AO267&lt;&gt;""),"CHAT中"),"")</f>
        <v/>
      </c>
      <c r="K267" s="33"/>
      <c r="L267" s="33"/>
      <c r="M267" s="33"/>
      <c r="N267" s="33"/>
      <c r="O267" s="33"/>
      <c r="AK267" s="33">
        <f t="shared" si="29"/>
        <v>0</v>
      </c>
      <c r="AL267" s="33" t="e">
        <f t="shared" ca="1" si="30"/>
        <v>#REF!</v>
      </c>
      <c r="AM267" s="33" t="str">
        <f t="shared" si="31"/>
        <v/>
      </c>
      <c r="AN267" s="33" t="e">
        <f t="shared" ca="1" si="32"/>
        <v>#REF!</v>
      </c>
      <c r="AO267" s="174" t="e">
        <f t="shared" ca="1" si="33"/>
        <v>#REF!</v>
      </c>
      <c r="AP267" s="174" t="e">
        <f t="shared" ca="1" si="34"/>
        <v>#REF!</v>
      </c>
    </row>
    <row r="268" spans="1:42">
      <c r="A268" s="33" t="str">
        <f t="shared" si="28"/>
        <v/>
      </c>
      <c r="I268" s="33"/>
      <c r="J268" s="173" t="str" cm="1">
        <f t="array" aca="1" ref="J268" ca="1">IFERROR(_xlfn.IFS(OR(AL268&lt;&gt;"",AP268&lt;&gt;""),"STCOアサイン済",OR(AN268&lt;&gt;"",AO268&lt;&gt;""),"CHAT中"),"")</f>
        <v/>
      </c>
      <c r="K268" s="33"/>
      <c r="L268" s="33"/>
      <c r="M268" s="33"/>
      <c r="N268" s="33"/>
      <c r="O268" s="33"/>
      <c r="AK268" s="33">
        <f t="shared" si="29"/>
        <v>0</v>
      </c>
      <c r="AL268" s="33" t="e">
        <f t="shared" ca="1" si="30"/>
        <v>#REF!</v>
      </c>
      <c r="AM268" s="33" t="str">
        <f t="shared" si="31"/>
        <v/>
      </c>
      <c r="AN268" s="33" t="e">
        <f t="shared" ca="1" si="32"/>
        <v>#REF!</v>
      </c>
      <c r="AO268" s="174" t="e">
        <f t="shared" ca="1" si="33"/>
        <v>#REF!</v>
      </c>
      <c r="AP268" s="174" t="e">
        <f t="shared" ca="1" si="34"/>
        <v>#REF!</v>
      </c>
    </row>
    <row r="269" spans="1:42">
      <c r="A269" s="33" t="str">
        <f t="shared" si="28"/>
        <v/>
      </c>
      <c r="I269" s="33"/>
      <c r="J269" s="173" t="str" cm="1">
        <f t="array" aca="1" ref="J269" ca="1">IFERROR(_xlfn.IFS(OR(AL269&lt;&gt;"",AP269&lt;&gt;""),"STCOアサイン済",OR(AN269&lt;&gt;"",AO269&lt;&gt;""),"CHAT中"),"")</f>
        <v/>
      </c>
      <c r="K269" s="33"/>
      <c r="L269" s="33"/>
      <c r="M269" s="33"/>
      <c r="N269" s="33"/>
      <c r="O269" s="33"/>
      <c r="AK269" s="33">
        <f t="shared" si="29"/>
        <v>0</v>
      </c>
      <c r="AL269" s="33" t="e">
        <f t="shared" ca="1" si="30"/>
        <v>#REF!</v>
      </c>
      <c r="AM269" s="33" t="str">
        <f t="shared" si="31"/>
        <v/>
      </c>
      <c r="AN269" s="33" t="e">
        <f t="shared" ca="1" si="32"/>
        <v>#REF!</v>
      </c>
      <c r="AO269" s="174" t="e">
        <f t="shared" ca="1" si="33"/>
        <v>#REF!</v>
      </c>
      <c r="AP269" s="174" t="e">
        <f t="shared" ca="1" si="34"/>
        <v>#REF!</v>
      </c>
    </row>
    <row r="270" spans="1:42">
      <c r="A270" s="33" t="str">
        <f t="shared" si="28"/>
        <v/>
      </c>
      <c r="I270" s="33"/>
      <c r="J270" s="173" t="str" cm="1">
        <f t="array" aca="1" ref="J270" ca="1">IFERROR(_xlfn.IFS(OR(AL270&lt;&gt;"",AP270&lt;&gt;""),"STCOアサイン済",OR(AN270&lt;&gt;"",AO270&lt;&gt;""),"CHAT中"),"")</f>
        <v/>
      </c>
      <c r="K270" s="33"/>
      <c r="L270" s="33"/>
      <c r="M270" s="33"/>
      <c r="N270" s="33"/>
      <c r="O270" s="33"/>
      <c r="AK270" s="33">
        <f t="shared" si="29"/>
        <v>0</v>
      </c>
      <c r="AL270" s="33" t="e">
        <f t="shared" ca="1" si="30"/>
        <v>#REF!</v>
      </c>
      <c r="AM270" s="33" t="str">
        <f t="shared" si="31"/>
        <v/>
      </c>
      <c r="AN270" s="33" t="e">
        <f t="shared" ca="1" si="32"/>
        <v>#REF!</v>
      </c>
      <c r="AO270" s="174" t="e">
        <f t="shared" ca="1" si="33"/>
        <v>#REF!</v>
      </c>
      <c r="AP270" s="174" t="e">
        <f t="shared" ca="1" si="34"/>
        <v>#REF!</v>
      </c>
    </row>
    <row r="271" spans="1:42">
      <c r="A271" s="33" t="str">
        <f t="shared" si="28"/>
        <v/>
      </c>
      <c r="I271" s="33"/>
      <c r="J271" s="173" t="str" cm="1">
        <f t="array" aca="1" ref="J271" ca="1">IFERROR(_xlfn.IFS(OR(AL271&lt;&gt;"",AP271&lt;&gt;""),"STCOアサイン済",OR(AN271&lt;&gt;"",AO271&lt;&gt;""),"CHAT中"),"")</f>
        <v/>
      </c>
      <c r="K271" s="33"/>
      <c r="L271" s="33"/>
      <c r="M271" s="33"/>
      <c r="N271" s="33"/>
      <c r="O271" s="33"/>
      <c r="AK271" s="33">
        <f t="shared" si="29"/>
        <v>0</v>
      </c>
      <c r="AL271" s="33" t="e">
        <f t="shared" ca="1" si="30"/>
        <v>#REF!</v>
      </c>
      <c r="AM271" s="33" t="str">
        <f t="shared" si="31"/>
        <v/>
      </c>
      <c r="AN271" s="33" t="e">
        <f t="shared" ca="1" si="32"/>
        <v>#REF!</v>
      </c>
      <c r="AO271" s="174" t="e">
        <f t="shared" ca="1" si="33"/>
        <v>#REF!</v>
      </c>
      <c r="AP271" s="174" t="e">
        <f t="shared" ca="1" si="34"/>
        <v>#REF!</v>
      </c>
    </row>
    <row r="272" spans="1:42">
      <c r="A272" s="33" t="str">
        <f t="shared" si="28"/>
        <v/>
      </c>
      <c r="I272" s="33"/>
      <c r="J272" s="173" t="str" cm="1">
        <f t="array" aca="1" ref="J272" ca="1">IFERROR(_xlfn.IFS(OR(AL272&lt;&gt;"",AP272&lt;&gt;""),"STCOアサイン済",OR(AN272&lt;&gt;"",AO272&lt;&gt;""),"CHAT中"),"")</f>
        <v/>
      </c>
      <c r="K272" s="33"/>
      <c r="L272" s="33"/>
      <c r="M272" s="33"/>
      <c r="N272" s="33"/>
      <c r="O272" s="33"/>
      <c r="AK272" s="33">
        <f t="shared" si="29"/>
        <v>0</v>
      </c>
      <c r="AL272" s="33" t="e">
        <f t="shared" ca="1" si="30"/>
        <v>#REF!</v>
      </c>
      <c r="AM272" s="33" t="str">
        <f t="shared" si="31"/>
        <v/>
      </c>
      <c r="AN272" s="33" t="e">
        <f t="shared" ca="1" si="32"/>
        <v>#REF!</v>
      </c>
      <c r="AO272" s="174" t="e">
        <f t="shared" ca="1" si="33"/>
        <v>#REF!</v>
      </c>
      <c r="AP272" s="174" t="e">
        <f t="shared" ca="1" si="34"/>
        <v>#REF!</v>
      </c>
    </row>
    <row r="273" spans="1:42">
      <c r="A273" s="33" t="str">
        <f t="shared" si="28"/>
        <v/>
      </c>
      <c r="I273" s="33"/>
      <c r="J273" s="173" t="str" cm="1">
        <f t="array" aca="1" ref="J273" ca="1">IFERROR(_xlfn.IFS(OR(AL273&lt;&gt;"",AP273&lt;&gt;""),"STCOアサイン済",OR(AN273&lt;&gt;"",AO273&lt;&gt;""),"CHAT中"),"")</f>
        <v/>
      </c>
      <c r="K273" s="33"/>
      <c r="L273" s="33"/>
      <c r="M273" s="33"/>
      <c r="N273" s="33"/>
      <c r="O273" s="33"/>
      <c r="AK273" s="33">
        <f t="shared" si="29"/>
        <v>0</v>
      </c>
      <c r="AL273" s="33" t="e">
        <f t="shared" ca="1" si="30"/>
        <v>#REF!</v>
      </c>
      <c r="AM273" s="33" t="str">
        <f t="shared" si="31"/>
        <v/>
      </c>
      <c r="AN273" s="33" t="e">
        <f t="shared" ca="1" si="32"/>
        <v>#REF!</v>
      </c>
      <c r="AO273" s="174" t="e">
        <f t="shared" ca="1" si="33"/>
        <v>#REF!</v>
      </c>
      <c r="AP273" s="174" t="e">
        <f t="shared" ca="1" si="34"/>
        <v>#REF!</v>
      </c>
    </row>
    <row r="274" spans="1:42">
      <c r="A274" s="33" t="str">
        <f t="shared" si="28"/>
        <v/>
      </c>
      <c r="I274" s="33"/>
      <c r="J274" s="173" t="str" cm="1">
        <f t="array" aca="1" ref="J274" ca="1">IFERROR(_xlfn.IFS(OR(AL274&lt;&gt;"",AP274&lt;&gt;""),"STCOアサイン済",OR(AN274&lt;&gt;"",AO274&lt;&gt;""),"CHAT中"),"")</f>
        <v/>
      </c>
      <c r="K274" s="33"/>
      <c r="L274" s="33"/>
      <c r="M274" s="33"/>
      <c r="N274" s="33"/>
      <c r="O274" s="33"/>
      <c r="AK274" s="33">
        <f t="shared" si="29"/>
        <v>0</v>
      </c>
      <c r="AL274" s="33" t="e">
        <f t="shared" ca="1" si="30"/>
        <v>#REF!</v>
      </c>
      <c r="AM274" s="33" t="str">
        <f t="shared" si="31"/>
        <v/>
      </c>
      <c r="AN274" s="33" t="e">
        <f t="shared" ca="1" si="32"/>
        <v>#REF!</v>
      </c>
      <c r="AO274" s="174" t="e">
        <f t="shared" ca="1" si="33"/>
        <v>#REF!</v>
      </c>
      <c r="AP274" s="174" t="e">
        <f t="shared" ca="1" si="34"/>
        <v>#REF!</v>
      </c>
    </row>
    <row r="275" spans="1:42">
      <c r="A275" s="33" t="str">
        <f t="shared" si="28"/>
        <v/>
      </c>
      <c r="I275" s="33"/>
      <c r="J275" s="173" t="str" cm="1">
        <f t="array" aca="1" ref="J275" ca="1">IFERROR(_xlfn.IFS(OR(AL275&lt;&gt;"",AP275&lt;&gt;""),"STCOアサイン済",OR(AN275&lt;&gt;"",AO275&lt;&gt;""),"CHAT中"),"")</f>
        <v/>
      </c>
      <c r="K275" s="33"/>
      <c r="L275" s="33"/>
      <c r="M275" s="33"/>
      <c r="N275" s="33"/>
      <c r="O275" s="33"/>
      <c r="AK275" s="33">
        <f t="shared" si="29"/>
        <v>0</v>
      </c>
      <c r="AL275" s="33" t="e">
        <f t="shared" ca="1" si="30"/>
        <v>#REF!</v>
      </c>
      <c r="AM275" s="33" t="str">
        <f t="shared" si="31"/>
        <v/>
      </c>
      <c r="AN275" s="33" t="e">
        <f t="shared" ca="1" si="32"/>
        <v>#REF!</v>
      </c>
      <c r="AO275" s="174" t="e">
        <f t="shared" ca="1" si="33"/>
        <v>#REF!</v>
      </c>
      <c r="AP275" s="174" t="e">
        <f t="shared" ca="1" si="34"/>
        <v>#REF!</v>
      </c>
    </row>
    <row r="276" spans="1:42">
      <c r="A276" s="33" t="str">
        <f t="shared" si="28"/>
        <v/>
      </c>
      <c r="I276" s="33"/>
      <c r="J276" s="173" t="str" cm="1">
        <f t="array" aca="1" ref="J276" ca="1">IFERROR(_xlfn.IFS(OR(AL276&lt;&gt;"",AP276&lt;&gt;""),"STCOアサイン済",OR(AN276&lt;&gt;"",AO276&lt;&gt;""),"CHAT中"),"")</f>
        <v/>
      </c>
      <c r="K276" s="33"/>
      <c r="L276" s="33"/>
      <c r="M276" s="33"/>
      <c r="N276" s="33"/>
      <c r="O276" s="33"/>
      <c r="AK276" s="33">
        <f t="shared" si="29"/>
        <v>0</v>
      </c>
      <c r="AL276" s="33" t="e">
        <f t="shared" ca="1" si="30"/>
        <v>#REF!</v>
      </c>
      <c r="AM276" s="33" t="str">
        <f t="shared" si="31"/>
        <v/>
      </c>
      <c r="AN276" s="33" t="e">
        <f t="shared" ca="1" si="32"/>
        <v>#REF!</v>
      </c>
      <c r="AO276" s="174" t="e">
        <f t="shared" ca="1" si="33"/>
        <v>#REF!</v>
      </c>
      <c r="AP276" s="174" t="e">
        <f t="shared" ca="1" si="34"/>
        <v>#REF!</v>
      </c>
    </row>
    <row r="277" spans="1:42">
      <c r="A277" s="33" t="str">
        <f t="shared" si="28"/>
        <v/>
      </c>
      <c r="I277" s="33"/>
      <c r="J277" s="173" t="str" cm="1">
        <f t="array" aca="1" ref="J277" ca="1">IFERROR(_xlfn.IFS(OR(AL277&lt;&gt;"",AP277&lt;&gt;""),"STCOアサイン済",OR(AN277&lt;&gt;"",AO277&lt;&gt;""),"CHAT中"),"")</f>
        <v/>
      </c>
      <c r="K277" s="33"/>
      <c r="L277" s="33"/>
      <c r="M277" s="33"/>
      <c r="N277" s="33"/>
      <c r="O277" s="33"/>
      <c r="AK277" s="33">
        <f t="shared" si="29"/>
        <v>0</v>
      </c>
      <c r="AL277" s="33" t="e">
        <f t="shared" ca="1" si="30"/>
        <v>#REF!</v>
      </c>
      <c r="AM277" s="33" t="str">
        <f t="shared" si="31"/>
        <v/>
      </c>
      <c r="AN277" s="33" t="e">
        <f t="shared" ca="1" si="32"/>
        <v>#REF!</v>
      </c>
      <c r="AO277" s="174" t="e">
        <f t="shared" ca="1" si="33"/>
        <v>#REF!</v>
      </c>
      <c r="AP277" s="174" t="e">
        <f t="shared" ca="1" si="34"/>
        <v>#REF!</v>
      </c>
    </row>
    <row r="278" spans="1:42">
      <c r="A278" s="33" t="str">
        <f t="shared" si="28"/>
        <v/>
      </c>
      <c r="I278" s="33"/>
      <c r="J278" s="173" t="str" cm="1">
        <f t="array" aca="1" ref="J278" ca="1">IFERROR(_xlfn.IFS(OR(AL278&lt;&gt;"",AP278&lt;&gt;""),"STCOアサイン済",OR(AN278&lt;&gt;"",AO278&lt;&gt;""),"CHAT中"),"")</f>
        <v/>
      </c>
      <c r="K278" s="33"/>
      <c r="L278" s="33"/>
      <c r="M278" s="33"/>
      <c r="N278" s="33"/>
      <c r="O278" s="33"/>
      <c r="AK278" s="33">
        <f t="shared" si="29"/>
        <v>0</v>
      </c>
      <c r="AL278" s="33" t="e">
        <f t="shared" ca="1" si="30"/>
        <v>#REF!</v>
      </c>
      <c r="AM278" s="33" t="str">
        <f t="shared" si="31"/>
        <v/>
      </c>
      <c r="AN278" s="33" t="e">
        <f t="shared" ca="1" si="32"/>
        <v>#REF!</v>
      </c>
      <c r="AO278" s="174" t="e">
        <f t="shared" ca="1" si="33"/>
        <v>#REF!</v>
      </c>
      <c r="AP278" s="174" t="e">
        <f t="shared" ca="1" si="34"/>
        <v>#REF!</v>
      </c>
    </row>
    <row r="279" spans="1:42">
      <c r="A279" s="33" t="str">
        <f t="shared" si="28"/>
        <v/>
      </c>
      <c r="I279" s="33"/>
      <c r="J279" s="173" t="str" cm="1">
        <f t="array" aca="1" ref="J279" ca="1">IFERROR(_xlfn.IFS(OR(AL279&lt;&gt;"",AP279&lt;&gt;""),"STCOアサイン済",OR(AN279&lt;&gt;"",AO279&lt;&gt;""),"CHAT中"),"")</f>
        <v/>
      </c>
      <c r="K279" s="33"/>
      <c r="L279" s="33"/>
      <c r="M279" s="33"/>
      <c r="N279" s="33"/>
      <c r="O279" s="33"/>
      <c r="AK279" s="33">
        <f t="shared" si="29"/>
        <v>0</v>
      </c>
      <c r="AL279" s="33" t="e">
        <f t="shared" ca="1" si="30"/>
        <v>#REF!</v>
      </c>
      <c r="AM279" s="33" t="str">
        <f t="shared" si="31"/>
        <v/>
      </c>
      <c r="AN279" s="33" t="e">
        <f t="shared" ca="1" si="32"/>
        <v>#REF!</v>
      </c>
      <c r="AO279" s="174" t="e">
        <f t="shared" ca="1" si="33"/>
        <v>#REF!</v>
      </c>
      <c r="AP279" s="174" t="e">
        <f t="shared" ca="1" si="34"/>
        <v>#REF!</v>
      </c>
    </row>
    <row r="280" spans="1:42">
      <c r="A280" s="33" t="str">
        <f t="shared" si="28"/>
        <v/>
      </c>
      <c r="I280" s="33"/>
      <c r="J280" s="173" t="str" cm="1">
        <f t="array" aca="1" ref="J280" ca="1">IFERROR(_xlfn.IFS(OR(AL280&lt;&gt;"",AP280&lt;&gt;""),"STCOアサイン済",OR(AN280&lt;&gt;"",AO280&lt;&gt;""),"CHAT中"),"")</f>
        <v/>
      </c>
      <c r="K280" s="33"/>
      <c r="L280" s="33"/>
      <c r="M280" s="33"/>
      <c r="N280" s="33"/>
      <c r="O280" s="33"/>
      <c r="AK280" s="33">
        <f t="shared" si="29"/>
        <v>0</v>
      </c>
      <c r="AL280" s="33" t="e">
        <f t="shared" ca="1" si="30"/>
        <v>#REF!</v>
      </c>
      <c r="AM280" s="33" t="str">
        <f t="shared" si="31"/>
        <v/>
      </c>
      <c r="AN280" s="33" t="e">
        <f t="shared" ca="1" si="32"/>
        <v>#REF!</v>
      </c>
      <c r="AO280" s="174" t="e">
        <f t="shared" ca="1" si="33"/>
        <v>#REF!</v>
      </c>
      <c r="AP280" s="174" t="e">
        <f t="shared" ca="1" si="34"/>
        <v>#REF!</v>
      </c>
    </row>
    <row r="281" spans="1:42">
      <c r="A281" s="33" t="str">
        <f t="shared" si="28"/>
        <v/>
      </c>
      <c r="I281" s="33"/>
      <c r="J281" s="173" t="str" cm="1">
        <f t="array" aca="1" ref="J281" ca="1">IFERROR(_xlfn.IFS(OR(AL281&lt;&gt;"",AP281&lt;&gt;""),"STCOアサイン済",OR(AN281&lt;&gt;"",AO281&lt;&gt;""),"CHAT中"),"")</f>
        <v/>
      </c>
      <c r="K281" s="33"/>
      <c r="L281" s="33"/>
      <c r="M281" s="33"/>
      <c r="N281" s="33"/>
      <c r="O281" s="33"/>
      <c r="AK281" s="33">
        <f t="shared" si="29"/>
        <v>0</v>
      </c>
      <c r="AL281" s="33" t="e">
        <f t="shared" ca="1" si="30"/>
        <v>#REF!</v>
      </c>
      <c r="AM281" s="33" t="str">
        <f t="shared" si="31"/>
        <v/>
      </c>
      <c r="AN281" s="33" t="e">
        <f t="shared" ca="1" si="32"/>
        <v>#REF!</v>
      </c>
      <c r="AO281" s="174" t="e">
        <f t="shared" ca="1" si="33"/>
        <v>#REF!</v>
      </c>
      <c r="AP281" s="174" t="e">
        <f t="shared" ca="1" si="34"/>
        <v>#REF!</v>
      </c>
    </row>
    <row r="282" spans="1:42">
      <c r="A282" s="33" t="str">
        <f t="shared" si="28"/>
        <v/>
      </c>
      <c r="I282" s="33"/>
      <c r="J282" s="173" t="str" cm="1">
        <f t="array" aca="1" ref="J282" ca="1">IFERROR(_xlfn.IFS(OR(AL282&lt;&gt;"",AP282&lt;&gt;""),"STCOアサイン済",OR(AN282&lt;&gt;"",AO282&lt;&gt;""),"CHAT中"),"")</f>
        <v/>
      </c>
      <c r="K282" s="33"/>
      <c r="L282" s="33"/>
      <c r="M282" s="33"/>
      <c r="N282" s="33"/>
      <c r="O282" s="33"/>
      <c r="AK282" s="33">
        <f t="shared" si="29"/>
        <v>0</v>
      </c>
      <c r="AL282" s="33" t="e">
        <f t="shared" ca="1" si="30"/>
        <v>#REF!</v>
      </c>
      <c r="AM282" s="33" t="str">
        <f t="shared" si="31"/>
        <v/>
      </c>
      <c r="AN282" s="33" t="e">
        <f t="shared" ca="1" si="32"/>
        <v>#REF!</v>
      </c>
      <c r="AO282" s="174" t="e">
        <f t="shared" ca="1" si="33"/>
        <v>#REF!</v>
      </c>
      <c r="AP282" s="174" t="e">
        <f t="shared" ca="1" si="34"/>
        <v>#REF!</v>
      </c>
    </row>
    <row r="283" spans="1:42">
      <c r="A283" s="33" t="str">
        <f t="shared" si="28"/>
        <v/>
      </c>
      <c r="I283" s="33"/>
      <c r="J283" s="173" t="str" cm="1">
        <f t="array" aca="1" ref="J283" ca="1">IFERROR(_xlfn.IFS(OR(AL283&lt;&gt;"",AP283&lt;&gt;""),"STCOアサイン済",OR(AN283&lt;&gt;"",AO283&lt;&gt;""),"CHAT中"),"")</f>
        <v/>
      </c>
      <c r="K283" s="33"/>
      <c r="L283" s="33"/>
      <c r="M283" s="33"/>
      <c r="N283" s="33"/>
      <c r="O283" s="33"/>
      <c r="AK283" s="33">
        <f t="shared" si="29"/>
        <v>0</v>
      </c>
      <c r="AL283" s="33" t="e">
        <f t="shared" ca="1" si="30"/>
        <v>#REF!</v>
      </c>
      <c r="AM283" s="33" t="str">
        <f t="shared" si="31"/>
        <v/>
      </c>
      <c r="AN283" s="33" t="e">
        <f t="shared" ca="1" si="32"/>
        <v>#REF!</v>
      </c>
      <c r="AO283" s="174" t="e">
        <f t="shared" ca="1" si="33"/>
        <v>#REF!</v>
      </c>
      <c r="AP283" s="174" t="e">
        <f t="shared" ca="1" si="34"/>
        <v>#REF!</v>
      </c>
    </row>
    <row r="284" spans="1:42">
      <c r="A284" s="33" t="str">
        <f t="shared" si="28"/>
        <v/>
      </c>
      <c r="I284" s="33"/>
      <c r="J284" s="173" t="str" cm="1">
        <f t="array" aca="1" ref="J284" ca="1">IFERROR(_xlfn.IFS(OR(AL284&lt;&gt;"",AP284&lt;&gt;""),"STCOアサイン済",OR(AN284&lt;&gt;"",AO284&lt;&gt;""),"CHAT中"),"")</f>
        <v/>
      </c>
      <c r="K284" s="33"/>
      <c r="L284" s="33"/>
      <c r="M284" s="33"/>
      <c r="N284" s="33"/>
      <c r="O284" s="33"/>
      <c r="AK284" s="33">
        <f t="shared" si="29"/>
        <v>0</v>
      </c>
      <c r="AL284" s="33" t="e">
        <f t="shared" ca="1" si="30"/>
        <v>#REF!</v>
      </c>
      <c r="AM284" s="33" t="str">
        <f t="shared" si="31"/>
        <v/>
      </c>
      <c r="AN284" s="33" t="e">
        <f t="shared" ca="1" si="32"/>
        <v>#REF!</v>
      </c>
      <c r="AO284" s="174" t="e">
        <f t="shared" ca="1" si="33"/>
        <v>#REF!</v>
      </c>
      <c r="AP284" s="174" t="e">
        <f t="shared" ca="1" si="34"/>
        <v>#REF!</v>
      </c>
    </row>
    <row r="285" spans="1:42">
      <c r="A285" s="33" t="str">
        <f t="shared" si="28"/>
        <v/>
      </c>
      <c r="I285" s="33"/>
      <c r="J285" s="173" t="str" cm="1">
        <f t="array" aca="1" ref="J285" ca="1">IFERROR(_xlfn.IFS(OR(AL285&lt;&gt;"",AP285&lt;&gt;""),"STCOアサイン済",OR(AN285&lt;&gt;"",AO285&lt;&gt;""),"CHAT中"),"")</f>
        <v/>
      </c>
      <c r="K285" s="33"/>
      <c r="L285" s="33"/>
      <c r="M285" s="33"/>
      <c r="N285" s="33"/>
      <c r="O285" s="33"/>
      <c r="AK285" s="33">
        <f t="shared" si="29"/>
        <v>0</v>
      </c>
      <c r="AL285" s="33" t="e">
        <f t="shared" ca="1" si="30"/>
        <v>#REF!</v>
      </c>
      <c r="AM285" s="33" t="str">
        <f t="shared" si="31"/>
        <v/>
      </c>
      <c r="AN285" s="33" t="e">
        <f t="shared" ca="1" si="32"/>
        <v>#REF!</v>
      </c>
      <c r="AO285" s="174" t="e">
        <f t="shared" ca="1" si="33"/>
        <v>#REF!</v>
      </c>
      <c r="AP285" s="174" t="e">
        <f t="shared" ca="1" si="34"/>
        <v>#REF!</v>
      </c>
    </row>
    <row r="286" spans="1:42">
      <c r="A286" s="33" t="str">
        <f t="shared" si="28"/>
        <v/>
      </c>
      <c r="I286" s="33"/>
      <c r="J286" s="173" t="str" cm="1">
        <f t="array" aca="1" ref="J286" ca="1">IFERROR(_xlfn.IFS(OR(AL286&lt;&gt;"",AP286&lt;&gt;""),"STCOアサイン済",OR(AN286&lt;&gt;"",AO286&lt;&gt;""),"CHAT中"),"")</f>
        <v/>
      </c>
      <c r="K286" s="33"/>
      <c r="L286" s="33"/>
      <c r="M286" s="33"/>
      <c r="N286" s="33"/>
      <c r="O286" s="33"/>
      <c r="AK286" s="33">
        <f t="shared" si="29"/>
        <v>0</v>
      </c>
      <c r="AL286" s="33" t="e">
        <f t="shared" ca="1" si="30"/>
        <v>#REF!</v>
      </c>
      <c r="AM286" s="33" t="str">
        <f t="shared" si="31"/>
        <v/>
      </c>
      <c r="AN286" s="33" t="e">
        <f t="shared" ca="1" si="32"/>
        <v>#REF!</v>
      </c>
      <c r="AO286" s="174" t="e">
        <f t="shared" ca="1" si="33"/>
        <v>#REF!</v>
      </c>
      <c r="AP286" s="174" t="e">
        <f t="shared" ca="1" si="34"/>
        <v>#REF!</v>
      </c>
    </row>
    <row r="287" spans="1:42">
      <c r="A287" s="33" t="str">
        <f t="shared" si="28"/>
        <v/>
      </c>
      <c r="I287" s="33"/>
      <c r="J287" s="173" t="str" cm="1">
        <f t="array" aca="1" ref="J287" ca="1">IFERROR(_xlfn.IFS(OR(AL287&lt;&gt;"",AP287&lt;&gt;""),"STCOアサイン済",OR(AN287&lt;&gt;"",AO287&lt;&gt;""),"CHAT中"),"")</f>
        <v/>
      </c>
      <c r="K287" s="33"/>
      <c r="L287" s="33"/>
      <c r="M287" s="33"/>
      <c r="N287" s="33"/>
      <c r="O287" s="33"/>
      <c r="AK287" s="33">
        <f t="shared" si="29"/>
        <v>0</v>
      </c>
      <c r="AL287" s="33" t="e">
        <f t="shared" ca="1" si="30"/>
        <v>#REF!</v>
      </c>
      <c r="AM287" s="33" t="str">
        <f t="shared" si="31"/>
        <v/>
      </c>
      <c r="AN287" s="33" t="e">
        <f t="shared" ca="1" si="32"/>
        <v>#REF!</v>
      </c>
      <c r="AO287" s="174" t="e">
        <f t="shared" ca="1" si="33"/>
        <v>#REF!</v>
      </c>
      <c r="AP287" s="174" t="e">
        <f t="shared" ca="1" si="34"/>
        <v>#REF!</v>
      </c>
    </row>
    <row r="288" spans="1:42">
      <c r="A288" s="33" t="str">
        <f t="shared" si="28"/>
        <v/>
      </c>
      <c r="I288" s="33"/>
      <c r="J288" s="173" t="str" cm="1">
        <f t="array" aca="1" ref="J288" ca="1">IFERROR(_xlfn.IFS(OR(AL288&lt;&gt;"",AP288&lt;&gt;""),"STCOアサイン済",OR(AN288&lt;&gt;"",AO288&lt;&gt;""),"CHAT中"),"")</f>
        <v/>
      </c>
      <c r="K288" s="33"/>
      <c r="L288" s="33"/>
      <c r="M288" s="33"/>
      <c r="N288" s="33"/>
      <c r="O288" s="33"/>
      <c r="AK288" s="33">
        <f t="shared" si="29"/>
        <v>0</v>
      </c>
      <c r="AL288" s="33" t="e">
        <f t="shared" ca="1" si="30"/>
        <v>#REF!</v>
      </c>
      <c r="AM288" s="33" t="str">
        <f t="shared" si="31"/>
        <v/>
      </c>
      <c r="AN288" s="33" t="e">
        <f t="shared" ca="1" si="32"/>
        <v>#REF!</v>
      </c>
      <c r="AO288" s="174" t="e">
        <f t="shared" ca="1" si="33"/>
        <v>#REF!</v>
      </c>
      <c r="AP288" s="174" t="e">
        <f t="shared" ca="1" si="34"/>
        <v>#REF!</v>
      </c>
    </row>
    <row r="289" spans="1:42">
      <c r="A289" s="33" t="str">
        <f t="shared" si="28"/>
        <v/>
      </c>
      <c r="I289" s="33"/>
      <c r="J289" s="173" t="str" cm="1">
        <f t="array" aca="1" ref="J289" ca="1">IFERROR(_xlfn.IFS(OR(AL289&lt;&gt;"",AP289&lt;&gt;""),"STCOアサイン済",OR(AN289&lt;&gt;"",AO289&lt;&gt;""),"CHAT中"),"")</f>
        <v/>
      </c>
      <c r="K289" s="33"/>
      <c r="L289" s="33"/>
      <c r="M289" s="33"/>
      <c r="N289" s="33"/>
      <c r="O289" s="33"/>
      <c r="AK289" s="33">
        <f t="shared" si="29"/>
        <v>0</v>
      </c>
      <c r="AL289" s="33" t="e">
        <f t="shared" ca="1" si="30"/>
        <v>#REF!</v>
      </c>
      <c r="AM289" s="33" t="str">
        <f t="shared" si="31"/>
        <v/>
      </c>
      <c r="AN289" s="33" t="e">
        <f t="shared" ca="1" si="32"/>
        <v>#REF!</v>
      </c>
      <c r="AO289" s="174" t="e">
        <f t="shared" ca="1" si="33"/>
        <v>#REF!</v>
      </c>
      <c r="AP289" s="174" t="e">
        <f t="shared" ca="1" si="34"/>
        <v>#REF!</v>
      </c>
    </row>
    <row r="290" spans="1:42">
      <c r="A290" s="33" t="str">
        <f t="shared" si="28"/>
        <v/>
      </c>
      <c r="I290" s="33"/>
      <c r="J290" s="173" t="str" cm="1">
        <f t="array" aca="1" ref="J290" ca="1">IFERROR(_xlfn.IFS(OR(AL290&lt;&gt;"",AP290&lt;&gt;""),"STCOアサイン済",OR(AN290&lt;&gt;"",AO290&lt;&gt;""),"CHAT中"),"")</f>
        <v/>
      </c>
      <c r="K290" s="33"/>
      <c r="L290" s="33"/>
      <c r="M290" s="33"/>
      <c r="N290" s="33"/>
      <c r="O290" s="33"/>
      <c r="AK290" s="33">
        <f t="shared" si="29"/>
        <v>0</v>
      </c>
      <c r="AL290" s="33" t="e">
        <f t="shared" ca="1" si="30"/>
        <v>#REF!</v>
      </c>
      <c r="AM290" s="33" t="str">
        <f t="shared" si="31"/>
        <v/>
      </c>
      <c r="AN290" s="33" t="e">
        <f t="shared" ca="1" si="32"/>
        <v>#REF!</v>
      </c>
      <c r="AO290" s="174" t="e">
        <f t="shared" ca="1" si="33"/>
        <v>#REF!</v>
      </c>
      <c r="AP290" s="174" t="e">
        <f t="shared" ca="1" si="34"/>
        <v>#REF!</v>
      </c>
    </row>
    <row r="291" spans="1:42">
      <c r="A291" s="33" t="str">
        <f t="shared" si="28"/>
        <v/>
      </c>
      <c r="I291" s="33"/>
      <c r="J291" s="173" t="str" cm="1">
        <f t="array" aca="1" ref="J291" ca="1">IFERROR(_xlfn.IFS(OR(AL291&lt;&gt;"",AP291&lt;&gt;""),"STCOアサイン済",OR(AN291&lt;&gt;"",AO291&lt;&gt;""),"CHAT中"),"")</f>
        <v/>
      </c>
      <c r="K291" s="33"/>
      <c r="L291" s="33"/>
      <c r="M291" s="33"/>
      <c r="N291" s="33"/>
      <c r="O291" s="33"/>
      <c r="AK291" s="33">
        <f t="shared" si="29"/>
        <v>0</v>
      </c>
      <c r="AL291" s="33" t="e">
        <f t="shared" ca="1" si="30"/>
        <v>#REF!</v>
      </c>
      <c r="AM291" s="33" t="str">
        <f t="shared" si="31"/>
        <v/>
      </c>
      <c r="AN291" s="33" t="e">
        <f t="shared" ca="1" si="32"/>
        <v>#REF!</v>
      </c>
      <c r="AO291" s="174" t="e">
        <f t="shared" ca="1" si="33"/>
        <v>#REF!</v>
      </c>
      <c r="AP291" s="174" t="e">
        <f t="shared" ca="1" si="34"/>
        <v>#REF!</v>
      </c>
    </row>
    <row r="292" spans="1:42">
      <c r="A292" s="33" t="str">
        <f t="shared" si="28"/>
        <v/>
      </c>
      <c r="I292" s="33"/>
      <c r="J292" s="173" t="str" cm="1">
        <f t="array" aca="1" ref="J292" ca="1">IFERROR(_xlfn.IFS(OR(AL292&lt;&gt;"",AP292&lt;&gt;""),"STCOアサイン済",OR(AN292&lt;&gt;"",AO292&lt;&gt;""),"CHAT中"),"")</f>
        <v/>
      </c>
      <c r="K292" s="33"/>
      <c r="L292" s="33"/>
      <c r="M292" s="33"/>
      <c r="N292" s="33"/>
      <c r="O292" s="33"/>
      <c r="AK292" s="33">
        <f t="shared" si="29"/>
        <v>0</v>
      </c>
      <c r="AL292" s="33" t="e">
        <f t="shared" ca="1" si="30"/>
        <v>#REF!</v>
      </c>
      <c r="AM292" s="33" t="str">
        <f t="shared" si="31"/>
        <v/>
      </c>
      <c r="AN292" s="33" t="e">
        <f t="shared" ca="1" si="32"/>
        <v>#REF!</v>
      </c>
      <c r="AO292" s="174" t="e">
        <f t="shared" ca="1" si="33"/>
        <v>#REF!</v>
      </c>
      <c r="AP292" s="174" t="e">
        <f t="shared" ca="1" si="34"/>
        <v>#REF!</v>
      </c>
    </row>
    <row r="293" spans="1:42">
      <c r="A293" s="33" t="str">
        <f t="shared" si="28"/>
        <v/>
      </c>
      <c r="I293" s="33"/>
      <c r="J293" s="173" t="str" cm="1">
        <f t="array" aca="1" ref="J293" ca="1">IFERROR(_xlfn.IFS(OR(AL293&lt;&gt;"",AP293&lt;&gt;""),"STCOアサイン済",OR(AN293&lt;&gt;"",AO293&lt;&gt;""),"CHAT中"),"")</f>
        <v/>
      </c>
      <c r="K293" s="33"/>
      <c r="L293" s="33"/>
      <c r="M293" s="33"/>
      <c r="N293" s="33"/>
      <c r="O293" s="33"/>
      <c r="AK293" s="33">
        <f t="shared" si="29"/>
        <v>0</v>
      </c>
      <c r="AL293" s="33" t="e">
        <f t="shared" ca="1" si="30"/>
        <v>#REF!</v>
      </c>
      <c r="AM293" s="33" t="str">
        <f t="shared" si="31"/>
        <v/>
      </c>
      <c r="AN293" s="33" t="e">
        <f t="shared" ca="1" si="32"/>
        <v>#REF!</v>
      </c>
      <c r="AO293" s="174" t="e">
        <f t="shared" ca="1" si="33"/>
        <v>#REF!</v>
      </c>
      <c r="AP293" s="174" t="e">
        <f t="shared" ca="1" si="34"/>
        <v>#REF!</v>
      </c>
    </row>
    <row r="294" spans="1:42">
      <c r="A294" s="33" t="str">
        <f t="shared" si="28"/>
        <v/>
      </c>
      <c r="I294" s="33"/>
      <c r="J294" s="173" t="str" cm="1">
        <f t="array" aca="1" ref="J294" ca="1">IFERROR(_xlfn.IFS(OR(AL294&lt;&gt;"",AP294&lt;&gt;""),"STCOアサイン済",OR(AN294&lt;&gt;"",AO294&lt;&gt;""),"CHAT中"),"")</f>
        <v/>
      </c>
      <c r="K294" s="33"/>
      <c r="L294" s="33"/>
      <c r="M294" s="33"/>
      <c r="N294" s="33"/>
      <c r="O294" s="33"/>
      <c r="AK294" s="33">
        <f t="shared" si="29"/>
        <v>0</v>
      </c>
      <c r="AL294" s="33" t="e">
        <f t="shared" ca="1" si="30"/>
        <v>#REF!</v>
      </c>
      <c r="AM294" s="33" t="str">
        <f t="shared" si="31"/>
        <v/>
      </c>
      <c r="AN294" s="33" t="e">
        <f t="shared" ca="1" si="32"/>
        <v>#REF!</v>
      </c>
      <c r="AO294" s="174" t="e">
        <f t="shared" ca="1" si="33"/>
        <v>#REF!</v>
      </c>
      <c r="AP294" s="174" t="e">
        <f t="shared" ca="1" si="34"/>
        <v>#REF!</v>
      </c>
    </row>
    <row r="295" spans="1:42">
      <c r="A295" s="33" t="str">
        <f t="shared" si="28"/>
        <v/>
      </c>
      <c r="I295" s="33"/>
      <c r="J295" s="173" t="str" cm="1">
        <f t="array" aca="1" ref="J295" ca="1">IFERROR(_xlfn.IFS(OR(AL295&lt;&gt;"",AP295&lt;&gt;""),"STCOアサイン済",OR(AN295&lt;&gt;"",AO295&lt;&gt;""),"CHAT中"),"")</f>
        <v/>
      </c>
      <c r="K295" s="33"/>
      <c r="L295" s="33"/>
      <c r="M295" s="33"/>
      <c r="N295" s="33"/>
      <c r="O295" s="33"/>
      <c r="AK295" s="33">
        <f t="shared" si="29"/>
        <v>0</v>
      </c>
      <c r="AL295" s="33" t="e">
        <f t="shared" ca="1" si="30"/>
        <v>#REF!</v>
      </c>
      <c r="AM295" s="33" t="str">
        <f t="shared" si="31"/>
        <v/>
      </c>
      <c r="AN295" s="33" t="e">
        <f t="shared" ca="1" si="32"/>
        <v>#REF!</v>
      </c>
      <c r="AO295" s="174" t="e">
        <f t="shared" ca="1" si="33"/>
        <v>#REF!</v>
      </c>
      <c r="AP295" s="174" t="e">
        <f t="shared" ca="1" si="34"/>
        <v>#REF!</v>
      </c>
    </row>
    <row r="296" spans="1:42">
      <c r="A296" s="33" t="str">
        <f t="shared" si="28"/>
        <v/>
      </c>
      <c r="I296" s="33"/>
      <c r="J296" s="173" t="str" cm="1">
        <f t="array" aca="1" ref="J296" ca="1">IFERROR(_xlfn.IFS(OR(AL296&lt;&gt;"",AP296&lt;&gt;""),"STCOアサイン済",OR(AN296&lt;&gt;"",AO296&lt;&gt;""),"CHAT中"),"")</f>
        <v/>
      </c>
      <c r="K296" s="33"/>
      <c r="L296" s="33"/>
      <c r="M296" s="33"/>
      <c r="N296" s="33"/>
      <c r="O296" s="33"/>
      <c r="AK296" s="33">
        <f t="shared" si="29"/>
        <v>0</v>
      </c>
      <c r="AL296" s="33" t="e">
        <f t="shared" ca="1" si="30"/>
        <v>#REF!</v>
      </c>
      <c r="AM296" s="33" t="str">
        <f t="shared" si="31"/>
        <v/>
      </c>
      <c r="AN296" s="33" t="e">
        <f t="shared" ca="1" si="32"/>
        <v>#REF!</v>
      </c>
      <c r="AO296" s="174" t="e">
        <f t="shared" ca="1" si="33"/>
        <v>#REF!</v>
      </c>
      <c r="AP296" s="174" t="e">
        <f t="shared" ca="1" si="34"/>
        <v>#REF!</v>
      </c>
    </row>
    <row r="297" spans="1:42">
      <c r="A297" s="33" t="str">
        <f t="shared" si="28"/>
        <v/>
      </c>
      <c r="I297" s="33"/>
      <c r="J297" s="173" t="str" cm="1">
        <f t="array" aca="1" ref="J297" ca="1">IFERROR(_xlfn.IFS(OR(AL297&lt;&gt;"",AP297&lt;&gt;""),"STCOアサイン済",OR(AN297&lt;&gt;"",AO297&lt;&gt;""),"CHAT中"),"")</f>
        <v/>
      </c>
      <c r="K297" s="33"/>
      <c r="L297" s="33"/>
      <c r="M297" s="33"/>
      <c r="N297" s="33"/>
      <c r="O297" s="33"/>
      <c r="AK297" s="33">
        <f t="shared" si="29"/>
        <v>0</v>
      </c>
      <c r="AL297" s="33" t="e">
        <f t="shared" ca="1" si="30"/>
        <v>#REF!</v>
      </c>
      <c r="AM297" s="33" t="str">
        <f t="shared" si="31"/>
        <v/>
      </c>
      <c r="AN297" s="33" t="e">
        <f t="shared" ca="1" si="32"/>
        <v>#REF!</v>
      </c>
      <c r="AO297" s="174" t="e">
        <f t="shared" ca="1" si="33"/>
        <v>#REF!</v>
      </c>
      <c r="AP297" s="174" t="e">
        <f t="shared" ca="1" si="34"/>
        <v>#REF!</v>
      </c>
    </row>
    <row r="298" spans="1:42">
      <c r="A298" s="33" t="str">
        <f t="shared" si="28"/>
        <v/>
      </c>
      <c r="I298" s="33"/>
      <c r="J298" s="173" t="str" cm="1">
        <f t="array" aca="1" ref="J298" ca="1">IFERROR(_xlfn.IFS(OR(AL298&lt;&gt;"",AP298&lt;&gt;""),"STCOアサイン済",OR(AN298&lt;&gt;"",AO298&lt;&gt;""),"CHAT中"),"")</f>
        <v/>
      </c>
      <c r="K298" s="33"/>
      <c r="L298" s="33"/>
      <c r="M298" s="33"/>
      <c r="N298" s="33"/>
      <c r="O298" s="33"/>
      <c r="AK298" s="33">
        <f t="shared" si="29"/>
        <v>0</v>
      </c>
      <c r="AL298" s="33" t="e">
        <f t="shared" ca="1" si="30"/>
        <v>#REF!</v>
      </c>
      <c r="AM298" s="33" t="str">
        <f t="shared" si="31"/>
        <v/>
      </c>
      <c r="AN298" s="33" t="e">
        <f t="shared" ca="1" si="32"/>
        <v>#REF!</v>
      </c>
      <c r="AO298" s="174" t="e">
        <f t="shared" ca="1" si="33"/>
        <v>#REF!</v>
      </c>
      <c r="AP298" s="174" t="e">
        <f t="shared" ca="1" si="34"/>
        <v>#REF!</v>
      </c>
    </row>
    <row r="299" spans="1:42">
      <c r="A299" s="33" t="str">
        <f t="shared" si="28"/>
        <v/>
      </c>
      <c r="I299" s="33"/>
      <c r="J299" s="173" t="str" cm="1">
        <f t="array" aca="1" ref="J299" ca="1">IFERROR(_xlfn.IFS(OR(AL299&lt;&gt;"",AP299&lt;&gt;""),"STCOアサイン済",OR(AN299&lt;&gt;"",AO299&lt;&gt;""),"CHAT中"),"")</f>
        <v/>
      </c>
      <c r="K299" s="33"/>
      <c r="L299" s="33"/>
      <c r="M299" s="33"/>
      <c r="N299" s="33"/>
      <c r="O299" s="33"/>
      <c r="AK299" s="33">
        <f t="shared" si="29"/>
        <v>0</v>
      </c>
      <c r="AL299" s="33" t="e">
        <f t="shared" ca="1" si="30"/>
        <v>#REF!</v>
      </c>
      <c r="AM299" s="33" t="str">
        <f t="shared" si="31"/>
        <v/>
      </c>
      <c r="AN299" s="33" t="e">
        <f t="shared" ca="1" si="32"/>
        <v>#REF!</v>
      </c>
      <c r="AO299" s="174" t="e">
        <f t="shared" ca="1" si="33"/>
        <v>#REF!</v>
      </c>
      <c r="AP299" s="174" t="e">
        <f t="shared" ca="1" si="34"/>
        <v>#REF!</v>
      </c>
    </row>
    <row r="300" spans="1:42">
      <c r="A300" s="33" t="str">
        <f t="shared" si="28"/>
        <v/>
      </c>
      <c r="I300" s="33"/>
      <c r="J300" s="173" t="str" cm="1">
        <f t="array" aca="1" ref="J300" ca="1">IFERROR(_xlfn.IFS(OR(AL300&lt;&gt;"",AP300&lt;&gt;""),"STCOアサイン済",OR(AN300&lt;&gt;"",AO300&lt;&gt;""),"CHAT中"),"")</f>
        <v/>
      </c>
      <c r="K300" s="33"/>
      <c r="L300" s="33"/>
      <c r="M300" s="33"/>
      <c r="N300" s="33"/>
      <c r="O300" s="33"/>
      <c r="AK300" s="33">
        <f t="shared" si="29"/>
        <v>0</v>
      </c>
      <c r="AL300" s="33" t="e">
        <f t="shared" ca="1" si="30"/>
        <v>#REF!</v>
      </c>
      <c r="AM300" s="33" t="str">
        <f t="shared" si="31"/>
        <v/>
      </c>
      <c r="AN300" s="33" t="e">
        <f t="shared" ca="1" si="32"/>
        <v>#REF!</v>
      </c>
      <c r="AO300" s="174" t="e">
        <f t="shared" ca="1" si="33"/>
        <v>#REF!</v>
      </c>
      <c r="AP300" s="174" t="e">
        <f t="shared" ca="1" si="34"/>
        <v>#REF!</v>
      </c>
    </row>
    <row r="301" spans="1:42">
      <c r="A301" s="33" t="str">
        <f t="shared" si="28"/>
        <v/>
      </c>
      <c r="I301" s="33"/>
      <c r="J301" s="173" t="str" cm="1">
        <f t="array" aca="1" ref="J301" ca="1">IFERROR(_xlfn.IFS(OR(AL301&lt;&gt;"",AP301&lt;&gt;""),"STCOアサイン済",OR(AN301&lt;&gt;"",AO301&lt;&gt;""),"CHAT中"),"")</f>
        <v/>
      </c>
      <c r="K301" s="33"/>
      <c r="L301" s="33"/>
      <c r="M301" s="33"/>
      <c r="N301" s="33"/>
      <c r="O301" s="33"/>
      <c r="AK301" s="33">
        <f t="shared" si="29"/>
        <v>0</v>
      </c>
      <c r="AL301" s="33" t="e">
        <f t="shared" ca="1" si="30"/>
        <v>#REF!</v>
      </c>
      <c r="AM301" s="33" t="str">
        <f t="shared" si="31"/>
        <v/>
      </c>
      <c r="AN301" s="33" t="e">
        <f t="shared" ca="1" si="32"/>
        <v>#REF!</v>
      </c>
      <c r="AO301" s="174" t="e">
        <f t="shared" ca="1" si="33"/>
        <v>#REF!</v>
      </c>
      <c r="AP301" s="174" t="e">
        <f t="shared" ca="1" si="34"/>
        <v>#REF!</v>
      </c>
    </row>
    <row r="302" spans="1:42">
      <c r="A302" s="33" t="str">
        <f t="shared" si="28"/>
        <v/>
      </c>
      <c r="I302" s="33"/>
      <c r="J302" s="173" t="str" cm="1">
        <f t="array" aca="1" ref="J302" ca="1">IFERROR(_xlfn.IFS(OR(AL302&lt;&gt;"",AP302&lt;&gt;""),"STCOアサイン済",OR(AN302&lt;&gt;"",AO302&lt;&gt;""),"CHAT中"),"")</f>
        <v/>
      </c>
      <c r="K302" s="33"/>
      <c r="L302" s="33"/>
      <c r="M302" s="33"/>
      <c r="N302" s="33"/>
      <c r="O302" s="33"/>
      <c r="AK302" s="33">
        <f t="shared" si="29"/>
        <v>0</v>
      </c>
      <c r="AL302" s="33" t="e">
        <f t="shared" ca="1" si="30"/>
        <v>#REF!</v>
      </c>
      <c r="AM302" s="33" t="str">
        <f t="shared" si="31"/>
        <v/>
      </c>
      <c r="AN302" s="33" t="e">
        <f t="shared" ca="1" si="32"/>
        <v>#REF!</v>
      </c>
      <c r="AO302" s="174" t="e">
        <f t="shared" ca="1" si="33"/>
        <v>#REF!</v>
      </c>
      <c r="AP302" s="174" t="e">
        <f t="shared" ca="1" si="34"/>
        <v>#REF!</v>
      </c>
    </row>
    <row r="303" spans="1:42">
      <c r="A303" s="33" t="str">
        <f t="shared" si="28"/>
        <v/>
      </c>
      <c r="I303" s="33"/>
      <c r="J303" s="173" t="str" cm="1">
        <f t="array" aca="1" ref="J303" ca="1">IFERROR(_xlfn.IFS(OR(AL303&lt;&gt;"",AP303&lt;&gt;""),"STCOアサイン済",OR(AN303&lt;&gt;"",AO303&lt;&gt;""),"CHAT中"),"")</f>
        <v/>
      </c>
      <c r="K303" s="33"/>
      <c r="L303" s="33"/>
      <c r="M303" s="33"/>
      <c r="N303" s="33"/>
      <c r="O303" s="33"/>
      <c r="AK303" s="33">
        <f t="shared" si="29"/>
        <v>0</v>
      </c>
      <c r="AL303" s="33" t="e">
        <f t="shared" ca="1" si="30"/>
        <v>#REF!</v>
      </c>
      <c r="AM303" s="33" t="str">
        <f t="shared" si="31"/>
        <v/>
      </c>
      <c r="AN303" s="33" t="e">
        <f t="shared" ca="1" si="32"/>
        <v>#REF!</v>
      </c>
      <c r="AO303" s="174" t="e">
        <f t="shared" ca="1" si="33"/>
        <v>#REF!</v>
      </c>
      <c r="AP303" s="174" t="e">
        <f t="shared" ca="1" si="34"/>
        <v>#REF!</v>
      </c>
    </row>
    <row r="304" spans="1:42">
      <c r="A304" s="33" t="str">
        <f t="shared" si="28"/>
        <v/>
      </c>
      <c r="I304" s="33"/>
      <c r="J304" s="173" t="str" cm="1">
        <f t="array" aca="1" ref="J304" ca="1">IFERROR(_xlfn.IFS(OR(AL304&lt;&gt;"",AP304&lt;&gt;""),"STCOアサイン済",OR(AN304&lt;&gt;"",AO304&lt;&gt;""),"CHAT中"),"")</f>
        <v/>
      </c>
      <c r="K304" s="33"/>
      <c r="L304" s="33"/>
      <c r="M304" s="33"/>
      <c r="N304" s="33"/>
      <c r="O304" s="33"/>
      <c r="AK304" s="33">
        <f t="shared" si="29"/>
        <v>0</v>
      </c>
      <c r="AL304" s="33" t="e">
        <f t="shared" ca="1" si="30"/>
        <v>#REF!</v>
      </c>
      <c r="AM304" s="33" t="str">
        <f t="shared" si="31"/>
        <v/>
      </c>
      <c r="AN304" s="33" t="e">
        <f t="shared" ca="1" si="32"/>
        <v>#REF!</v>
      </c>
      <c r="AO304" s="174" t="e">
        <f t="shared" ca="1" si="33"/>
        <v>#REF!</v>
      </c>
      <c r="AP304" s="174" t="e">
        <f t="shared" ca="1" si="34"/>
        <v>#REF!</v>
      </c>
    </row>
    <row r="305" spans="1:42">
      <c r="A305" s="33" t="str">
        <f t="shared" si="28"/>
        <v/>
      </c>
      <c r="I305" s="33"/>
      <c r="J305" s="173" t="str" cm="1">
        <f t="array" aca="1" ref="J305" ca="1">IFERROR(_xlfn.IFS(OR(AL305&lt;&gt;"",AP305&lt;&gt;""),"STCOアサイン済",OR(AN305&lt;&gt;"",AO305&lt;&gt;""),"CHAT中"),"")</f>
        <v/>
      </c>
      <c r="K305" s="33"/>
      <c r="L305" s="33"/>
      <c r="M305" s="33"/>
      <c r="N305" s="33"/>
      <c r="O305" s="33"/>
      <c r="AK305" s="33">
        <f t="shared" si="29"/>
        <v>0</v>
      </c>
      <c r="AL305" s="33" t="e">
        <f t="shared" ca="1" si="30"/>
        <v>#REF!</v>
      </c>
      <c r="AM305" s="33" t="str">
        <f t="shared" si="31"/>
        <v/>
      </c>
      <c r="AN305" s="33" t="e">
        <f t="shared" ca="1" si="32"/>
        <v>#REF!</v>
      </c>
      <c r="AO305" s="174" t="e">
        <f t="shared" ca="1" si="33"/>
        <v>#REF!</v>
      </c>
      <c r="AP305" s="174" t="e">
        <f t="shared" ca="1" si="34"/>
        <v>#REF!</v>
      </c>
    </row>
    <row r="306" spans="1:42">
      <c r="A306" s="33" t="str">
        <f t="shared" si="28"/>
        <v/>
      </c>
      <c r="I306" s="33"/>
      <c r="J306" s="173" t="str" cm="1">
        <f t="array" aca="1" ref="J306" ca="1">IFERROR(_xlfn.IFS(OR(AL306&lt;&gt;"",AP306&lt;&gt;""),"STCOアサイン済",OR(AN306&lt;&gt;"",AO306&lt;&gt;""),"CHAT中"),"")</f>
        <v/>
      </c>
      <c r="K306" s="33"/>
      <c r="L306" s="33"/>
      <c r="M306" s="33"/>
      <c r="N306" s="33"/>
      <c r="O306" s="33"/>
      <c r="AK306" s="33">
        <f t="shared" si="29"/>
        <v>0</v>
      </c>
      <c r="AL306" s="33" t="e">
        <f t="shared" ca="1" si="30"/>
        <v>#REF!</v>
      </c>
      <c r="AM306" s="33" t="str">
        <f t="shared" si="31"/>
        <v/>
      </c>
      <c r="AN306" s="33" t="e">
        <f t="shared" ca="1" si="32"/>
        <v>#REF!</v>
      </c>
      <c r="AO306" s="174" t="e">
        <f t="shared" ca="1" si="33"/>
        <v>#REF!</v>
      </c>
      <c r="AP306" s="174" t="e">
        <f t="shared" ca="1" si="34"/>
        <v>#REF!</v>
      </c>
    </row>
    <row r="307" spans="1:42">
      <c r="A307" s="33" t="str">
        <f t="shared" si="28"/>
        <v/>
      </c>
      <c r="I307" s="33"/>
      <c r="J307" s="173" t="str" cm="1">
        <f t="array" aca="1" ref="J307" ca="1">IFERROR(_xlfn.IFS(OR(AL307&lt;&gt;"",AP307&lt;&gt;""),"STCOアサイン済",OR(AN307&lt;&gt;"",AO307&lt;&gt;""),"CHAT中"),"")</f>
        <v/>
      </c>
      <c r="K307" s="33"/>
      <c r="L307" s="33"/>
      <c r="M307" s="33"/>
      <c r="N307" s="33"/>
      <c r="O307" s="33"/>
      <c r="AK307" s="33">
        <f t="shared" si="29"/>
        <v>0</v>
      </c>
      <c r="AL307" s="33" t="e">
        <f t="shared" ca="1" si="30"/>
        <v>#REF!</v>
      </c>
      <c r="AM307" s="33" t="str">
        <f t="shared" si="31"/>
        <v/>
      </c>
      <c r="AN307" s="33" t="e">
        <f t="shared" ca="1" si="32"/>
        <v>#REF!</v>
      </c>
      <c r="AO307" s="174" t="e">
        <f t="shared" ca="1" si="33"/>
        <v>#REF!</v>
      </c>
      <c r="AP307" s="174" t="e">
        <f t="shared" ca="1" si="34"/>
        <v>#REF!</v>
      </c>
    </row>
    <row r="308" spans="1:42">
      <c r="A308" s="33" t="str">
        <f t="shared" si="28"/>
        <v/>
      </c>
      <c r="I308" s="33"/>
      <c r="J308" s="173" t="str" cm="1">
        <f t="array" aca="1" ref="J308" ca="1">IFERROR(_xlfn.IFS(OR(AL308&lt;&gt;"",AP308&lt;&gt;""),"STCOアサイン済",OR(AN308&lt;&gt;"",AO308&lt;&gt;""),"CHAT中"),"")</f>
        <v/>
      </c>
      <c r="K308" s="33"/>
      <c r="L308" s="33"/>
      <c r="M308" s="33"/>
      <c r="N308" s="33"/>
      <c r="O308" s="33"/>
      <c r="AK308" s="33">
        <f t="shared" si="29"/>
        <v>0</v>
      </c>
      <c r="AL308" s="33" t="e">
        <f t="shared" ca="1" si="30"/>
        <v>#REF!</v>
      </c>
      <c r="AM308" s="33" t="str">
        <f t="shared" si="31"/>
        <v/>
      </c>
      <c r="AN308" s="33" t="e">
        <f t="shared" ca="1" si="32"/>
        <v>#REF!</v>
      </c>
      <c r="AO308" s="174" t="e">
        <f t="shared" ca="1" si="33"/>
        <v>#REF!</v>
      </c>
      <c r="AP308" s="174" t="e">
        <f t="shared" ca="1" si="34"/>
        <v>#REF!</v>
      </c>
    </row>
    <row r="309" spans="1:42">
      <c r="A309" s="33" t="str">
        <f t="shared" si="28"/>
        <v/>
      </c>
      <c r="I309" s="33"/>
      <c r="J309" s="173" t="str" cm="1">
        <f t="array" aca="1" ref="J309" ca="1">IFERROR(_xlfn.IFS(OR(AL309&lt;&gt;"",AP309&lt;&gt;""),"STCOアサイン済",OR(AN309&lt;&gt;"",AO309&lt;&gt;""),"CHAT中"),"")</f>
        <v/>
      </c>
      <c r="K309" s="33"/>
      <c r="L309" s="33"/>
      <c r="M309" s="33"/>
      <c r="N309" s="33"/>
      <c r="O309" s="33"/>
      <c r="AK309" s="33">
        <f t="shared" si="29"/>
        <v>0</v>
      </c>
      <c r="AL309" s="33" t="e">
        <f t="shared" ca="1" si="30"/>
        <v>#REF!</v>
      </c>
      <c r="AM309" s="33" t="str">
        <f t="shared" si="31"/>
        <v/>
      </c>
      <c r="AN309" s="33" t="e">
        <f t="shared" ca="1" si="32"/>
        <v>#REF!</v>
      </c>
      <c r="AO309" s="174" t="e">
        <f t="shared" ca="1" si="33"/>
        <v>#REF!</v>
      </c>
      <c r="AP309" s="174" t="e">
        <f t="shared" ca="1" si="34"/>
        <v>#REF!</v>
      </c>
    </row>
    <row r="310" spans="1:42">
      <c r="A310" s="33" t="str">
        <f t="shared" si="28"/>
        <v/>
      </c>
      <c r="I310" s="33"/>
      <c r="J310" s="173" t="str" cm="1">
        <f t="array" aca="1" ref="J310" ca="1">IFERROR(_xlfn.IFS(OR(AL310&lt;&gt;"",AP310&lt;&gt;""),"STCOアサイン済",OR(AN310&lt;&gt;"",AO310&lt;&gt;""),"CHAT中"),"")</f>
        <v/>
      </c>
      <c r="K310" s="33"/>
      <c r="L310" s="33"/>
      <c r="M310" s="33"/>
      <c r="N310" s="33"/>
      <c r="O310" s="33"/>
      <c r="AK310" s="33">
        <f t="shared" si="29"/>
        <v>0</v>
      </c>
      <c r="AL310" s="33" t="e">
        <f t="shared" ca="1" si="30"/>
        <v>#REF!</v>
      </c>
      <c r="AM310" s="33" t="str">
        <f t="shared" si="31"/>
        <v/>
      </c>
      <c r="AN310" s="33" t="e">
        <f t="shared" ca="1" si="32"/>
        <v>#REF!</v>
      </c>
      <c r="AO310" s="174" t="e">
        <f t="shared" ca="1" si="33"/>
        <v>#REF!</v>
      </c>
      <c r="AP310" s="174" t="e">
        <f t="shared" ca="1" si="34"/>
        <v>#REF!</v>
      </c>
    </row>
    <row r="311" spans="1:42">
      <c r="A311" s="33" t="str">
        <f t="shared" si="28"/>
        <v/>
      </c>
      <c r="I311" s="33"/>
      <c r="J311" s="173" t="str" cm="1">
        <f t="array" aca="1" ref="J311" ca="1">IFERROR(_xlfn.IFS(OR(AL311&lt;&gt;"",AP311&lt;&gt;""),"STCOアサイン済",OR(AN311&lt;&gt;"",AO311&lt;&gt;""),"CHAT中"),"")</f>
        <v/>
      </c>
      <c r="K311" s="33"/>
      <c r="L311" s="33"/>
      <c r="M311" s="33"/>
      <c r="N311" s="33"/>
      <c r="O311" s="33"/>
      <c r="AK311" s="33">
        <f t="shared" si="29"/>
        <v>0</v>
      </c>
      <c r="AL311" s="33" t="e">
        <f t="shared" ca="1" si="30"/>
        <v>#REF!</v>
      </c>
      <c r="AM311" s="33" t="str">
        <f t="shared" si="31"/>
        <v/>
      </c>
      <c r="AN311" s="33" t="e">
        <f t="shared" ca="1" si="32"/>
        <v>#REF!</v>
      </c>
      <c r="AO311" s="174" t="e">
        <f t="shared" ca="1" si="33"/>
        <v>#REF!</v>
      </c>
      <c r="AP311" s="174" t="e">
        <f t="shared" ca="1" si="34"/>
        <v>#REF!</v>
      </c>
    </row>
    <row r="312" spans="1:42">
      <c r="A312" s="33" t="str">
        <f t="shared" si="28"/>
        <v/>
      </c>
      <c r="I312" s="33"/>
      <c r="J312" s="173" t="str" cm="1">
        <f t="array" aca="1" ref="J312" ca="1">IFERROR(_xlfn.IFS(OR(AL312&lt;&gt;"",AP312&lt;&gt;""),"STCOアサイン済",OR(AN312&lt;&gt;"",AO312&lt;&gt;""),"CHAT中"),"")</f>
        <v/>
      </c>
      <c r="K312" s="33"/>
      <c r="L312" s="33"/>
      <c r="M312" s="33"/>
      <c r="N312" s="33"/>
      <c r="O312" s="33"/>
      <c r="AK312" s="33">
        <f t="shared" si="29"/>
        <v>0</v>
      </c>
      <c r="AL312" s="33" t="e">
        <f t="shared" ca="1" si="30"/>
        <v>#REF!</v>
      </c>
      <c r="AM312" s="33" t="str">
        <f t="shared" si="31"/>
        <v/>
      </c>
      <c r="AN312" s="33" t="e">
        <f t="shared" ca="1" si="32"/>
        <v>#REF!</v>
      </c>
      <c r="AO312" s="174" t="e">
        <f t="shared" ca="1" si="33"/>
        <v>#REF!</v>
      </c>
      <c r="AP312" s="174" t="e">
        <f t="shared" ca="1" si="34"/>
        <v>#REF!</v>
      </c>
    </row>
    <row r="313" spans="1:42">
      <c r="A313" s="33" t="str">
        <f t="shared" si="28"/>
        <v/>
      </c>
      <c r="I313" s="33"/>
      <c r="J313" s="173" t="str" cm="1">
        <f t="array" aca="1" ref="J313" ca="1">IFERROR(_xlfn.IFS(OR(AL313&lt;&gt;"",AP313&lt;&gt;""),"STCOアサイン済",OR(AN313&lt;&gt;"",AO313&lt;&gt;""),"CHAT中"),"")</f>
        <v/>
      </c>
      <c r="K313" s="33"/>
      <c r="L313" s="33"/>
      <c r="M313" s="33"/>
      <c r="N313" s="33"/>
      <c r="O313" s="33"/>
      <c r="AK313" s="33">
        <f t="shared" si="29"/>
        <v>0</v>
      </c>
      <c r="AL313" s="33" t="e">
        <f t="shared" ca="1" si="30"/>
        <v>#REF!</v>
      </c>
      <c r="AM313" s="33" t="str">
        <f t="shared" si="31"/>
        <v/>
      </c>
      <c r="AN313" s="33" t="e">
        <f t="shared" ca="1" si="32"/>
        <v>#REF!</v>
      </c>
      <c r="AO313" s="174" t="e">
        <f t="shared" ca="1" si="33"/>
        <v>#REF!</v>
      </c>
      <c r="AP313" s="174" t="e">
        <f t="shared" ca="1" si="34"/>
        <v>#REF!</v>
      </c>
    </row>
    <row r="314" spans="1:42">
      <c r="A314" s="33" t="str">
        <f t="shared" si="28"/>
        <v/>
      </c>
      <c r="I314" s="33"/>
      <c r="J314" s="173" t="str" cm="1">
        <f t="array" aca="1" ref="J314" ca="1">IFERROR(_xlfn.IFS(OR(AL314&lt;&gt;"",AP314&lt;&gt;""),"STCOアサイン済",OR(AN314&lt;&gt;"",AO314&lt;&gt;""),"CHAT中"),"")</f>
        <v/>
      </c>
      <c r="K314" s="33"/>
      <c r="L314" s="33"/>
      <c r="M314" s="33"/>
      <c r="N314" s="33"/>
      <c r="O314" s="33"/>
      <c r="AK314" s="33">
        <f t="shared" si="29"/>
        <v>0</v>
      </c>
      <c r="AL314" s="33" t="e">
        <f t="shared" ca="1" si="30"/>
        <v>#REF!</v>
      </c>
      <c r="AM314" s="33" t="str">
        <f t="shared" si="31"/>
        <v/>
      </c>
      <c r="AN314" s="33" t="e">
        <f t="shared" ca="1" si="32"/>
        <v>#REF!</v>
      </c>
      <c r="AO314" s="174" t="e">
        <f t="shared" ca="1" si="33"/>
        <v>#REF!</v>
      </c>
      <c r="AP314" s="174" t="e">
        <f t="shared" ca="1" si="34"/>
        <v>#REF!</v>
      </c>
    </row>
    <row r="315" spans="1:42">
      <c r="A315" s="33" t="str">
        <f t="shared" si="28"/>
        <v/>
      </c>
      <c r="I315" s="33"/>
      <c r="J315" s="173" t="str" cm="1">
        <f t="array" aca="1" ref="J315" ca="1">IFERROR(_xlfn.IFS(OR(AL315&lt;&gt;"",AP315&lt;&gt;""),"STCOアサイン済",OR(AN315&lt;&gt;"",AO315&lt;&gt;""),"CHAT中"),"")</f>
        <v/>
      </c>
      <c r="K315" s="33"/>
      <c r="L315" s="33"/>
      <c r="M315" s="33"/>
      <c r="N315" s="33"/>
      <c r="O315" s="33"/>
      <c r="AK315" s="33">
        <f t="shared" si="29"/>
        <v>0</v>
      </c>
      <c r="AL315" s="33" t="e">
        <f t="shared" ca="1" si="30"/>
        <v>#REF!</v>
      </c>
      <c r="AM315" s="33" t="str">
        <f t="shared" si="31"/>
        <v/>
      </c>
      <c r="AN315" s="33" t="e">
        <f t="shared" ca="1" si="32"/>
        <v>#REF!</v>
      </c>
      <c r="AO315" s="174" t="e">
        <f t="shared" ca="1" si="33"/>
        <v>#REF!</v>
      </c>
      <c r="AP315" s="174" t="e">
        <f t="shared" ca="1" si="34"/>
        <v>#REF!</v>
      </c>
    </row>
    <row r="316" spans="1:42">
      <c r="A316" s="33" t="str">
        <f t="shared" si="28"/>
        <v/>
      </c>
      <c r="I316" s="33"/>
      <c r="J316" s="173" t="str" cm="1">
        <f t="array" aca="1" ref="J316" ca="1">IFERROR(_xlfn.IFS(OR(AL316&lt;&gt;"",AP316&lt;&gt;""),"STCOアサイン済",OR(AN316&lt;&gt;"",AO316&lt;&gt;""),"CHAT中"),"")</f>
        <v/>
      </c>
      <c r="K316" s="33"/>
      <c r="L316" s="33"/>
      <c r="M316" s="33"/>
      <c r="N316" s="33"/>
      <c r="O316" s="33"/>
      <c r="AK316" s="33">
        <f t="shared" si="29"/>
        <v>0</v>
      </c>
      <c r="AL316" s="33" t="e">
        <f t="shared" ca="1" si="30"/>
        <v>#REF!</v>
      </c>
      <c r="AM316" s="33" t="str">
        <f t="shared" si="31"/>
        <v/>
      </c>
      <c r="AN316" s="33" t="e">
        <f t="shared" ca="1" si="32"/>
        <v>#REF!</v>
      </c>
      <c r="AO316" s="174" t="e">
        <f t="shared" ca="1" si="33"/>
        <v>#REF!</v>
      </c>
      <c r="AP316" s="174" t="e">
        <f t="shared" ca="1" si="34"/>
        <v>#REF!</v>
      </c>
    </row>
    <row r="317" spans="1:42">
      <c r="A317" s="33" t="str">
        <f t="shared" si="28"/>
        <v/>
      </c>
      <c r="I317" s="33"/>
      <c r="J317" s="173" t="str" cm="1">
        <f t="array" aca="1" ref="J317" ca="1">IFERROR(_xlfn.IFS(OR(AL317&lt;&gt;"",AP317&lt;&gt;""),"STCOアサイン済",OR(AN317&lt;&gt;"",AO317&lt;&gt;""),"CHAT中"),"")</f>
        <v/>
      </c>
      <c r="K317" s="33"/>
      <c r="L317" s="33"/>
      <c r="M317" s="33"/>
      <c r="N317" s="33"/>
      <c r="O317" s="33"/>
      <c r="AK317" s="33">
        <f t="shared" si="29"/>
        <v>0</v>
      </c>
      <c r="AL317" s="33" t="e">
        <f t="shared" ca="1" si="30"/>
        <v>#REF!</v>
      </c>
      <c r="AM317" s="33" t="str">
        <f t="shared" si="31"/>
        <v/>
      </c>
      <c r="AN317" s="33" t="e">
        <f t="shared" ca="1" si="32"/>
        <v>#REF!</v>
      </c>
      <c r="AO317" s="174" t="e">
        <f t="shared" ca="1" si="33"/>
        <v>#REF!</v>
      </c>
      <c r="AP317" s="174" t="e">
        <f t="shared" ca="1" si="34"/>
        <v>#REF!</v>
      </c>
    </row>
    <row r="318" spans="1:42">
      <c r="A318" s="33" t="str">
        <f t="shared" si="28"/>
        <v/>
      </c>
      <c r="I318" s="33"/>
      <c r="J318" s="173" t="str" cm="1">
        <f t="array" aca="1" ref="J318" ca="1">IFERROR(_xlfn.IFS(OR(AL318&lt;&gt;"",AP318&lt;&gt;""),"STCOアサイン済",OR(AN318&lt;&gt;"",AO318&lt;&gt;""),"CHAT中"),"")</f>
        <v/>
      </c>
      <c r="K318" s="33"/>
      <c r="L318" s="33"/>
      <c r="M318" s="33"/>
      <c r="N318" s="33"/>
      <c r="O318" s="33"/>
      <c r="AK318" s="33">
        <f t="shared" si="29"/>
        <v>0</v>
      </c>
      <c r="AL318" s="33" t="e">
        <f t="shared" ca="1" si="30"/>
        <v>#REF!</v>
      </c>
      <c r="AM318" s="33" t="str">
        <f t="shared" si="31"/>
        <v/>
      </c>
      <c r="AN318" s="33" t="e">
        <f t="shared" ca="1" si="32"/>
        <v>#REF!</v>
      </c>
      <c r="AO318" s="174" t="e">
        <f t="shared" ca="1" si="33"/>
        <v>#REF!</v>
      </c>
      <c r="AP318" s="174" t="e">
        <f t="shared" ca="1" si="34"/>
        <v>#REF!</v>
      </c>
    </row>
    <row r="319" spans="1:42">
      <c r="A319" s="33" t="str">
        <f t="shared" si="28"/>
        <v/>
      </c>
      <c r="I319" s="33"/>
      <c r="J319" s="173" t="str" cm="1">
        <f t="array" aca="1" ref="J319" ca="1">IFERROR(_xlfn.IFS(OR(AL319&lt;&gt;"",AP319&lt;&gt;""),"STCOアサイン済",OR(AN319&lt;&gt;"",AO319&lt;&gt;""),"CHAT中"),"")</f>
        <v/>
      </c>
      <c r="K319" s="33"/>
      <c r="L319" s="33"/>
      <c r="M319" s="33"/>
      <c r="N319" s="33"/>
      <c r="O319" s="33"/>
      <c r="AK319" s="33">
        <f t="shared" si="29"/>
        <v>0</v>
      </c>
      <c r="AL319" s="33" t="e">
        <f t="shared" ca="1" si="30"/>
        <v>#REF!</v>
      </c>
      <c r="AM319" s="33" t="str">
        <f t="shared" si="31"/>
        <v/>
      </c>
      <c r="AN319" s="33" t="e">
        <f t="shared" ca="1" si="32"/>
        <v>#REF!</v>
      </c>
      <c r="AO319" s="174" t="e">
        <f t="shared" ca="1" si="33"/>
        <v>#REF!</v>
      </c>
      <c r="AP319" s="174" t="e">
        <f t="shared" ca="1" si="34"/>
        <v>#REF!</v>
      </c>
    </row>
    <row r="320" spans="1:42">
      <c r="A320" s="33" t="str">
        <f t="shared" si="28"/>
        <v/>
      </c>
      <c r="I320" s="33"/>
      <c r="J320" s="173" t="str" cm="1">
        <f t="array" aca="1" ref="J320" ca="1">IFERROR(_xlfn.IFS(OR(AL320&lt;&gt;"",AP320&lt;&gt;""),"STCOアサイン済",OR(AN320&lt;&gt;"",AO320&lt;&gt;""),"CHAT中"),"")</f>
        <v/>
      </c>
      <c r="K320" s="33"/>
      <c r="L320" s="33"/>
      <c r="M320" s="33"/>
      <c r="N320" s="33"/>
      <c r="O320" s="33"/>
      <c r="AK320" s="33">
        <f t="shared" si="29"/>
        <v>0</v>
      </c>
      <c r="AL320" s="33" t="e">
        <f t="shared" ca="1" si="30"/>
        <v>#REF!</v>
      </c>
      <c r="AM320" s="33" t="str">
        <f t="shared" si="31"/>
        <v/>
      </c>
      <c r="AN320" s="33" t="e">
        <f t="shared" ca="1" si="32"/>
        <v>#REF!</v>
      </c>
      <c r="AO320" s="174" t="e">
        <f t="shared" ca="1" si="33"/>
        <v>#REF!</v>
      </c>
      <c r="AP320" s="174" t="e">
        <f t="shared" ca="1" si="34"/>
        <v>#REF!</v>
      </c>
    </row>
    <row r="321" spans="1:42">
      <c r="A321" s="33" t="str">
        <f t="shared" si="28"/>
        <v/>
      </c>
      <c r="I321" s="33"/>
      <c r="J321" s="173" t="str" cm="1">
        <f t="array" aca="1" ref="J321" ca="1">IFERROR(_xlfn.IFS(OR(AL321&lt;&gt;"",AP321&lt;&gt;""),"STCOアサイン済",OR(AN321&lt;&gt;"",AO321&lt;&gt;""),"CHAT中"),"")</f>
        <v/>
      </c>
      <c r="K321" s="33"/>
      <c r="L321" s="33"/>
      <c r="M321" s="33"/>
      <c r="N321" s="33"/>
      <c r="O321" s="33"/>
      <c r="AK321" s="33">
        <f t="shared" si="29"/>
        <v>0</v>
      </c>
      <c r="AL321" s="33" t="e">
        <f t="shared" ca="1" si="30"/>
        <v>#REF!</v>
      </c>
      <c r="AM321" s="33" t="str">
        <f t="shared" si="31"/>
        <v/>
      </c>
      <c r="AN321" s="33" t="e">
        <f t="shared" ca="1" si="32"/>
        <v>#REF!</v>
      </c>
      <c r="AO321" s="174" t="e">
        <f t="shared" ca="1" si="33"/>
        <v>#REF!</v>
      </c>
      <c r="AP321" s="174" t="e">
        <f t="shared" ca="1" si="34"/>
        <v>#REF!</v>
      </c>
    </row>
    <row r="322" spans="1:42">
      <c r="A322" s="33" t="str">
        <f t="shared" si="28"/>
        <v/>
      </c>
      <c r="I322" s="33"/>
      <c r="J322" s="173" t="str" cm="1">
        <f t="array" aca="1" ref="J322" ca="1">IFERROR(_xlfn.IFS(OR(AL322&lt;&gt;"",AP322&lt;&gt;""),"STCOアサイン済",OR(AN322&lt;&gt;"",AO322&lt;&gt;""),"CHAT中"),"")</f>
        <v/>
      </c>
      <c r="K322" s="33"/>
      <c r="L322" s="33"/>
      <c r="M322" s="33"/>
      <c r="N322" s="33"/>
      <c r="O322" s="33"/>
      <c r="AK322" s="33">
        <f t="shared" si="29"/>
        <v>0</v>
      </c>
      <c r="AL322" s="33" t="e">
        <f t="shared" ca="1" si="30"/>
        <v>#REF!</v>
      </c>
      <c r="AM322" s="33" t="str">
        <f t="shared" si="31"/>
        <v/>
      </c>
      <c r="AN322" s="33" t="e">
        <f t="shared" ca="1" si="32"/>
        <v>#REF!</v>
      </c>
      <c r="AO322" s="174" t="e">
        <f t="shared" ca="1" si="33"/>
        <v>#REF!</v>
      </c>
      <c r="AP322" s="174" t="e">
        <f t="shared" ca="1" si="34"/>
        <v>#REF!</v>
      </c>
    </row>
    <row r="323" spans="1:42">
      <c r="A323" s="33" t="str">
        <f t="shared" si="28"/>
        <v/>
      </c>
      <c r="I323" s="33"/>
      <c r="J323" s="173" t="str" cm="1">
        <f t="array" aca="1" ref="J323" ca="1">IFERROR(_xlfn.IFS(OR(AL323&lt;&gt;"",AP323&lt;&gt;""),"STCOアサイン済",OR(AN323&lt;&gt;"",AO323&lt;&gt;""),"CHAT中"),"")</f>
        <v/>
      </c>
      <c r="K323" s="33"/>
      <c r="L323" s="33"/>
      <c r="M323" s="33"/>
      <c r="N323" s="33"/>
      <c r="O323" s="33"/>
      <c r="AK323" s="33">
        <f t="shared" si="29"/>
        <v>0</v>
      </c>
      <c r="AL323" s="33" t="e">
        <f t="shared" ca="1" si="30"/>
        <v>#REF!</v>
      </c>
      <c r="AM323" s="33" t="str">
        <f t="shared" si="31"/>
        <v/>
      </c>
      <c r="AN323" s="33" t="e">
        <f t="shared" ca="1" si="32"/>
        <v>#REF!</v>
      </c>
      <c r="AO323" s="174" t="e">
        <f t="shared" ca="1" si="33"/>
        <v>#REF!</v>
      </c>
      <c r="AP323" s="174" t="e">
        <f t="shared" ca="1" si="34"/>
        <v>#REF!</v>
      </c>
    </row>
    <row r="324" spans="1:42">
      <c r="A324" s="33" t="str">
        <f t="shared" si="28"/>
        <v/>
      </c>
      <c r="I324" s="33"/>
      <c r="J324" s="173" t="str" cm="1">
        <f t="array" aca="1" ref="J324" ca="1">IFERROR(_xlfn.IFS(OR(AL324&lt;&gt;"",AP324&lt;&gt;""),"STCOアサイン済",OR(AN324&lt;&gt;"",AO324&lt;&gt;""),"CHAT中"),"")</f>
        <v/>
      </c>
      <c r="K324" s="33"/>
      <c r="L324" s="33"/>
      <c r="M324" s="33"/>
      <c r="N324" s="33"/>
      <c r="O324" s="33"/>
      <c r="AK324" s="33">
        <f t="shared" si="29"/>
        <v>0</v>
      </c>
      <c r="AL324" s="33" t="e">
        <f t="shared" ca="1" si="30"/>
        <v>#REF!</v>
      </c>
      <c r="AM324" s="33" t="str">
        <f t="shared" si="31"/>
        <v/>
      </c>
      <c r="AN324" s="33" t="e">
        <f t="shared" ca="1" si="32"/>
        <v>#REF!</v>
      </c>
      <c r="AO324" s="174" t="e">
        <f t="shared" ca="1" si="33"/>
        <v>#REF!</v>
      </c>
      <c r="AP324" s="174" t="e">
        <f t="shared" ca="1" si="34"/>
        <v>#REF!</v>
      </c>
    </row>
    <row r="325" spans="1:42">
      <c r="A325" s="33" t="str">
        <f t="shared" si="28"/>
        <v/>
      </c>
      <c r="I325" s="33"/>
      <c r="J325" s="173" t="str" cm="1">
        <f t="array" aca="1" ref="J325" ca="1">IFERROR(_xlfn.IFS(OR(AL325&lt;&gt;"",AP325&lt;&gt;""),"STCOアサイン済",OR(AN325&lt;&gt;"",AO325&lt;&gt;""),"CHAT中"),"")</f>
        <v/>
      </c>
      <c r="K325" s="33"/>
      <c r="L325" s="33"/>
      <c r="M325" s="33"/>
      <c r="N325" s="33"/>
      <c r="O325" s="33"/>
      <c r="AK325" s="33">
        <f t="shared" si="29"/>
        <v>0</v>
      </c>
      <c r="AL325" s="33" t="e">
        <f t="shared" ca="1" si="30"/>
        <v>#REF!</v>
      </c>
      <c r="AM325" s="33" t="str">
        <f t="shared" si="31"/>
        <v/>
      </c>
      <c r="AN325" s="33" t="e">
        <f t="shared" ca="1" si="32"/>
        <v>#REF!</v>
      </c>
      <c r="AO325" s="174" t="e">
        <f t="shared" ca="1" si="33"/>
        <v>#REF!</v>
      </c>
      <c r="AP325" s="174" t="e">
        <f t="shared" ca="1" si="34"/>
        <v>#REF!</v>
      </c>
    </row>
    <row r="326" spans="1:42">
      <c r="A326" s="33" t="str">
        <f t="shared" si="28"/>
        <v/>
      </c>
      <c r="I326" s="33"/>
      <c r="J326" s="173" t="str" cm="1">
        <f t="array" aca="1" ref="J326" ca="1">IFERROR(_xlfn.IFS(OR(AL326&lt;&gt;"",AP326&lt;&gt;""),"STCOアサイン済",OR(AN326&lt;&gt;"",AO326&lt;&gt;""),"CHAT中"),"")</f>
        <v/>
      </c>
      <c r="K326" s="33"/>
      <c r="L326" s="33"/>
      <c r="M326" s="33"/>
      <c r="N326" s="33"/>
      <c r="O326" s="33"/>
      <c r="AK326" s="33">
        <f t="shared" si="29"/>
        <v>0</v>
      </c>
      <c r="AL326" s="33" t="e">
        <f t="shared" ca="1" si="30"/>
        <v>#REF!</v>
      </c>
      <c r="AM326" s="33" t="str">
        <f t="shared" si="31"/>
        <v/>
      </c>
      <c r="AN326" s="33" t="e">
        <f t="shared" ca="1" si="32"/>
        <v>#REF!</v>
      </c>
      <c r="AO326" s="174" t="e">
        <f t="shared" ca="1" si="33"/>
        <v>#REF!</v>
      </c>
      <c r="AP326" s="174" t="e">
        <f t="shared" ca="1" si="34"/>
        <v>#REF!</v>
      </c>
    </row>
    <row r="327" spans="1:42">
      <c r="A327" s="33" t="str">
        <f t="shared" si="28"/>
        <v/>
      </c>
      <c r="I327" s="33"/>
      <c r="J327" s="173" t="str" cm="1">
        <f t="array" aca="1" ref="J327" ca="1">IFERROR(_xlfn.IFS(OR(AL327&lt;&gt;"",AP327&lt;&gt;""),"STCOアサイン済",OR(AN327&lt;&gt;"",AO327&lt;&gt;""),"CHAT中"),"")</f>
        <v/>
      </c>
      <c r="K327" s="33"/>
      <c r="L327" s="33"/>
      <c r="M327" s="33"/>
      <c r="N327" s="33"/>
      <c r="O327" s="33"/>
      <c r="AK327" s="33">
        <f t="shared" si="29"/>
        <v>0</v>
      </c>
      <c r="AL327" s="33" t="e">
        <f t="shared" ca="1" si="30"/>
        <v>#REF!</v>
      </c>
      <c r="AM327" s="33" t="str">
        <f t="shared" si="31"/>
        <v/>
      </c>
      <c r="AN327" s="33" t="e">
        <f t="shared" ca="1" si="32"/>
        <v>#REF!</v>
      </c>
      <c r="AO327" s="174" t="e">
        <f t="shared" ca="1" si="33"/>
        <v>#REF!</v>
      </c>
      <c r="AP327" s="174" t="e">
        <f t="shared" ca="1" si="34"/>
        <v>#REF!</v>
      </c>
    </row>
    <row r="328" spans="1:42">
      <c r="A328" s="33" t="str">
        <f t="shared" ref="A328:A391" si="35">IF(ISBLANK($I328), "", _xlfn.IFS($I328&gt;10, "DS", $I328&lt;=10, "未定"))</f>
        <v/>
      </c>
      <c r="I328" s="33"/>
      <c r="J328" s="173" t="str" cm="1">
        <f t="array" aca="1" ref="J328" ca="1">IFERROR(_xlfn.IFS(OR(AL328&lt;&gt;"",AP328&lt;&gt;""),"STCOアサイン済",OR(AN328&lt;&gt;"",AO328&lt;&gt;""),"CHAT中"),"")</f>
        <v/>
      </c>
      <c r="K328" s="33"/>
      <c r="L328" s="33"/>
      <c r="M328" s="33"/>
      <c r="N328" s="33"/>
      <c r="O328" s="33"/>
      <c r="AK328" s="33">
        <f t="shared" si="29"/>
        <v>0</v>
      </c>
      <c r="AL328" s="33" t="e">
        <f t="shared" ca="1" si="30"/>
        <v>#REF!</v>
      </c>
      <c r="AM328" s="33" t="str">
        <f t="shared" si="31"/>
        <v/>
      </c>
      <c r="AN328" s="33" t="e">
        <f t="shared" ca="1" si="32"/>
        <v>#REF!</v>
      </c>
      <c r="AO328" s="174" t="e">
        <f t="shared" ca="1" si="33"/>
        <v>#REF!</v>
      </c>
      <c r="AP328" s="174" t="e">
        <f t="shared" ca="1" si="34"/>
        <v>#REF!</v>
      </c>
    </row>
    <row r="329" spans="1:42">
      <c r="A329" s="33" t="str">
        <f t="shared" si="35"/>
        <v/>
      </c>
      <c r="I329" s="33"/>
      <c r="J329" s="173" t="str" cm="1">
        <f t="array" aca="1" ref="J329" ca="1">IFERROR(_xlfn.IFS(OR(AL329&lt;&gt;"",AP329&lt;&gt;""),"STCOアサイン済",OR(AN329&lt;&gt;"",AO329&lt;&gt;""),"CHAT中"),"")</f>
        <v/>
      </c>
      <c r="K329" s="33"/>
      <c r="L329" s="33"/>
      <c r="M329" s="33"/>
      <c r="N329" s="33"/>
      <c r="O329" s="33"/>
      <c r="AK329" s="33">
        <f t="shared" ref="AK329:AK392" si="36">C329</f>
        <v>0</v>
      </c>
      <c r="AL329" s="33" t="e">
        <f t="shared" ref="AL329:AL392" ca="1" si="37">IF(SUMIF(INDIRECT($AL$7&amp;"!$AM$5:$AM$800"),C329&amp;$AL$6,INDIRECT($AL$7&amp;"!$AN$5:$AN$800"))&lt;=0,"")</f>
        <v>#REF!</v>
      </c>
      <c r="AM329" s="33" t="str">
        <f t="shared" ref="AM329:AM392" si="38">IF(A329="","",A329)</f>
        <v/>
      </c>
      <c r="AN329" s="33" t="e">
        <f t="shared" ref="AN329:AN392" ca="1" si="39">IF(SUMIF(INDIRECT($AL$7&amp;"!$AM$5:$AM$800"),C329&amp;$AL$6,INDIRECT($AL$7&amp;"!$AO$5:$AO$800"))=0,"")</f>
        <v>#REF!</v>
      </c>
      <c r="AO329" s="174" t="e">
        <f t="shared" ref="AO329:AO392" ca="1" si="40">IF(SUMIF(INDIRECT($AL$7&amp;"!$AR$5:$AR$800"),C329&amp;$AL$6,INDIRECT($AL$7&amp;"!$AO$5:$AO$800"))=0,"")</f>
        <v>#REF!</v>
      </c>
      <c r="AP329" s="174" t="e">
        <f t="shared" ref="AP329:AP392" ca="1" si="41">IF(SUMIF(INDIRECT($AL$7&amp;"!$AR$5:$AR$800"),C329&amp;$AL$6,INDIRECT($AL$7&amp;"!$AN$5:$AN$800"))&lt;=0,"")</f>
        <v>#REF!</v>
      </c>
    </row>
    <row r="330" spans="1:42">
      <c r="A330" s="33" t="str">
        <f t="shared" si="35"/>
        <v/>
      </c>
      <c r="I330" s="33"/>
      <c r="J330" s="173" t="str" cm="1">
        <f t="array" aca="1" ref="J330" ca="1">IFERROR(_xlfn.IFS(OR(AL330&lt;&gt;"",AP330&lt;&gt;""),"STCOアサイン済",OR(AN330&lt;&gt;"",AO330&lt;&gt;""),"CHAT中"),"")</f>
        <v/>
      </c>
      <c r="K330" s="33"/>
      <c r="L330" s="33"/>
      <c r="M330" s="33"/>
      <c r="N330" s="33"/>
      <c r="O330" s="33"/>
      <c r="AK330" s="33">
        <f t="shared" si="36"/>
        <v>0</v>
      </c>
      <c r="AL330" s="33" t="e">
        <f t="shared" ca="1" si="37"/>
        <v>#REF!</v>
      </c>
      <c r="AM330" s="33" t="str">
        <f t="shared" si="38"/>
        <v/>
      </c>
      <c r="AN330" s="33" t="e">
        <f t="shared" ca="1" si="39"/>
        <v>#REF!</v>
      </c>
      <c r="AO330" s="174" t="e">
        <f t="shared" ca="1" si="40"/>
        <v>#REF!</v>
      </c>
      <c r="AP330" s="174" t="e">
        <f t="shared" ca="1" si="41"/>
        <v>#REF!</v>
      </c>
    </row>
    <row r="331" spans="1:42">
      <c r="A331" s="33" t="str">
        <f t="shared" si="35"/>
        <v/>
      </c>
      <c r="I331" s="33"/>
      <c r="J331" s="173" t="str" cm="1">
        <f t="array" aca="1" ref="J331" ca="1">IFERROR(_xlfn.IFS(OR(AL331&lt;&gt;"",AP331&lt;&gt;""),"STCOアサイン済",OR(AN331&lt;&gt;"",AO331&lt;&gt;""),"CHAT中"),"")</f>
        <v/>
      </c>
      <c r="K331" s="33"/>
      <c r="L331" s="33"/>
      <c r="M331" s="33"/>
      <c r="N331" s="33"/>
      <c r="O331" s="33"/>
      <c r="AK331" s="33">
        <f t="shared" si="36"/>
        <v>0</v>
      </c>
      <c r="AL331" s="33" t="e">
        <f t="shared" ca="1" si="37"/>
        <v>#REF!</v>
      </c>
      <c r="AM331" s="33" t="str">
        <f t="shared" si="38"/>
        <v/>
      </c>
      <c r="AN331" s="33" t="e">
        <f t="shared" ca="1" si="39"/>
        <v>#REF!</v>
      </c>
      <c r="AO331" s="174" t="e">
        <f t="shared" ca="1" si="40"/>
        <v>#REF!</v>
      </c>
      <c r="AP331" s="174" t="e">
        <f t="shared" ca="1" si="41"/>
        <v>#REF!</v>
      </c>
    </row>
    <row r="332" spans="1:42">
      <c r="A332" s="33" t="str">
        <f t="shared" si="35"/>
        <v/>
      </c>
      <c r="I332" s="33"/>
      <c r="J332" s="173" t="str" cm="1">
        <f t="array" aca="1" ref="J332" ca="1">IFERROR(_xlfn.IFS(OR(AL332&lt;&gt;"",AP332&lt;&gt;""),"STCOアサイン済",OR(AN332&lt;&gt;"",AO332&lt;&gt;""),"CHAT中"),"")</f>
        <v/>
      </c>
      <c r="K332" s="33"/>
      <c r="L332" s="33"/>
      <c r="M332" s="33"/>
      <c r="N332" s="33"/>
      <c r="O332" s="33"/>
      <c r="AK332" s="33">
        <f t="shared" si="36"/>
        <v>0</v>
      </c>
      <c r="AL332" s="33" t="e">
        <f t="shared" ca="1" si="37"/>
        <v>#REF!</v>
      </c>
      <c r="AM332" s="33" t="str">
        <f t="shared" si="38"/>
        <v/>
      </c>
      <c r="AN332" s="33" t="e">
        <f t="shared" ca="1" si="39"/>
        <v>#REF!</v>
      </c>
      <c r="AO332" s="174" t="e">
        <f t="shared" ca="1" si="40"/>
        <v>#REF!</v>
      </c>
      <c r="AP332" s="174" t="e">
        <f t="shared" ca="1" si="41"/>
        <v>#REF!</v>
      </c>
    </row>
    <row r="333" spans="1:42">
      <c r="A333" s="33" t="str">
        <f t="shared" si="35"/>
        <v/>
      </c>
      <c r="I333" s="33"/>
      <c r="J333" s="173" t="str" cm="1">
        <f t="array" aca="1" ref="J333" ca="1">IFERROR(_xlfn.IFS(OR(AL333&lt;&gt;"",AP333&lt;&gt;""),"STCOアサイン済",OR(AN333&lt;&gt;"",AO333&lt;&gt;""),"CHAT中"),"")</f>
        <v/>
      </c>
      <c r="K333" s="33"/>
      <c r="L333" s="33"/>
      <c r="M333" s="33"/>
      <c r="N333" s="33"/>
      <c r="O333" s="33"/>
      <c r="AK333" s="33">
        <f t="shared" si="36"/>
        <v>0</v>
      </c>
      <c r="AL333" s="33" t="e">
        <f t="shared" ca="1" si="37"/>
        <v>#REF!</v>
      </c>
      <c r="AM333" s="33" t="str">
        <f t="shared" si="38"/>
        <v/>
      </c>
      <c r="AN333" s="33" t="e">
        <f t="shared" ca="1" si="39"/>
        <v>#REF!</v>
      </c>
      <c r="AO333" s="174" t="e">
        <f t="shared" ca="1" si="40"/>
        <v>#REF!</v>
      </c>
      <c r="AP333" s="174" t="e">
        <f t="shared" ca="1" si="41"/>
        <v>#REF!</v>
      </c>
    </row>
    <row r="334" spans="1:42">
      <c r="A334" s="33" t="str">
        <f t="shared" si="35"/>
        <v/>
      </c>
      <c r="I334" s="33"/>
      <c r="J334" s="173" t="str" cm="1">
        <f t="array" aca="1" ref="J334" ca="1">IFERROR(_xlfn.IFS(OR(AL334&lt;&gt;"",AP334&lt;&gt;""),"STCOアサイン済",OR(AN334&lt;&gt;"",AO334&lt;&gt;""),"CHAT中"),"")</f>
        <v/>
      </c>
      <c r="K334" s="33"/>
      <c r="L334" s="33"/>
      <c r="M334" s="33"/>
      <c r="N334" s="33"/>
      <c r="O334" s="33"/>
      <c r="AK334" s="33">
        <f t="shared" si="36"/>
        <v>0</v>
      </c>
      <c r="AL334" s="33" t="e">
        <f t="shared" ca="1" si="37"/>
        <v>#REF!</v>
      </c>
      <c r="AM334" s="33" t="str">
        <f t="shared" si="38"/>
        <v/>
      </c>
      <c r="AN334" s="33" t="e">
        <f t="shared" ca="1" si="39"/>
        <v>#REF!</v>
      </c>
      <c r="AO334" s="174" t="e">
        <f t="shared" ca="1" si="40"/>
        <v>#REF!</v>
      </c>
      <c r="AP334" s="174" t="e">
        <f t="shared" ca="1" si="41"/>
        <v>#REF!</v>
      </c>
    </row>
    <row r="335" spans="1:42">
      <c r="A335" s="33" t="str">
        <f t="shared" si="35"/>
        <v/>
      </c>
      <c r="I335" s="33"/>
      <c r="J335" s="173" t="str" cm="1">
        <f t="array" aca="1" ref="J335" ca="1">IFERROR(_xlfn.IFS(OR(AL335&lt;&gt;"",AP335&lt;&gt;""),"STCOアサイン済",OR(AN335&lt;&gt;"",AO335&lt;&gt;""),"CHAT中"),"")</f>
        <v/>
      </c>
      <c r="K335" s="33"/>
      <c r="L335" s="33"/>
      <c r="M335" s="33"/>
      <c r="N335" s="33"/>
      <c r="O335" s="33"/>
      <c r="AK335" s="33">
        <f t="shared" si="36"/>
        <v>0</v>
      </c>
      <c r="AL335" s="33" t="e">
        <f t="shared" ca="1" si="37"/>
        <v>#REF!</v>
      </c>
      <c r="AM335" s="33" t="str">
        <f t="shared" si="38"/>
        <v/>
      </c>
      <c r="AN335" s="33" t="e">
        <f t="shared" ca="1" si="39"/>
        <v>#REF!</v>
      </c>
      <c r="AO335" s="174" t="e">
        <f t="shared" ca="1" si="40"/>
        <v>#REF!</v>
      </c>
      <c r="AP335" s="174" t="e">
        <f t="shared" ca="1" si="41"/>
        <v>#REF!</v>
      </c>
    </row>
    <row r="336" spans="1:42">
      <c r="A336" s="33" t="str">
        <f t="shared" si="35"/>
        <v/>
      </c>
      <c r="I336" s="33"/>
      <c r="J336" s="173" t="str" cm="1">
        <f t="array" aca="1" ref="J336" ca="1">IFERROR(_xlfn.IFS(OR(AL336&lt;&gt;"",AP336&lt;&gt;""),"STCOアサイン済",OR(AN336&lt;&gt;"",AO336&lt;&gt;""),"CHAT中"),"")</f>
        <v/>
      </c>
      <c r="K336" s="33"/>
      <c r="L336" s="33"/>
      <c r="M336" s="33"/>
      <c r="N336" s="33"/>
      <c r="O336" s="33"/>
      <c r="AK336" s="33">
        <f t="shared" si="36"/>
        <v>0</v>
      </c>
      <c r="AL336" s="33" t="e">
        <f t="shared" ca="1" si="37"/>
        <v>#REF!</v>
      </c>
      <c r="AM336" s="33" t="str">
        <f t="shared" si="38"/>
        <v/>
      </c>
      <c r="AN336" s="33" t="e">
        <f t="shared" ca="1" si="39"/>
        <v>#REF!</v>
      </c>
      <c r="AO336" s="174" t="e">
        <f t="shared" ca="1" si="40"/>
        <v>#REF!</v>
      </c>
      <c r="AP336" s="174" t="e">
        <f t="shared" ca="1" si="41"/>
        <v>#REF!</v>
      </c>
    </row>
    <row r="337" spans="1:42">
      <c r="A337" s="33" t="str">
        <f t="shared" si="35"/>
        <v/>
      </c>
      <c r="I337" s="33"/>
      <c r="J337" s="173" t="str" cm="1">
        <f t="array" aca="1" ref="J337" ca="1">IFERROR(_xlfn.IFS(OR(AL337&lt;&gt;"",AP337&lt;&gt;""),"STCOアサイン済",OR(AN337&lt;&gt;"",AO337&lt;&gt;""),"CHAT中"),"")</f>
        <v/>
      </c>
      <c r="K337" s="33"/>
      <c r="L337" s="33"/>
      <c r="M337" s="33"/>
      <c r="N337" s="33"/>
      <c r="O337" s="33"/>
      <c r="AK337" s="33">
        <f t="shared" si="36"/>
        <v>0</v>
      </c>
      <c r="AL337" s="33" t="e">
        <f t="shared" ca="1" si="37"/>
        <v>#REF!</v>
      </c>
      <c r="AM337" s="33" t="str">
        <f t="shared" si="38"/>
        <v/>
      </c>
      <c r="AN337" s="33" t="e">
        <f t="shared" ca="1" si="39"/>
        <v>#REF!</v>
      </c>
      <c r="AO337" s="174" t="e">
        <f t="shared" ca="1" si="40"/>
        <v>#REF!</v>
      </c>
      <c r="AP337" s="174" t="e">
        <f t="shared" ca="1" si="41"/>
        <v>#REF!</v>
      </c>
    </row>
    <row r="338" spans="1:42">
      <c r="A338" s="33" t="str">
        <f t="shared" si="35"/>
        <v/>
      </c>
      <c r="I338" s="33"/>
      <c r="J338" s="173" t="str" cm="1">
        <f t="array" aca="1" ref="J338" ca="1">IFERROR(_xlfn.IFS(OR(AL338&lt;&gt;"",AP338&lt;&gt;""),"STCOアサイン済",OR(AN338&lt;&gt;"",AO338&lt;&gt;""),"CHAT中"),"")</f>
        <v/>
      </c>
      <c r="K338" s="33"/>
      <c r="L338" s="33"/>
      <c r="M338" s="33"/>
      <c r="N338" s="33"/>
      <c r="O338" s="33"/>
      <c r="AK338" s="33">
        <f t="shared" si="36"/>
        <v>0</v>
      </c>
      <c r="AL338" s="33" t="e">
        <f t="shared" ca="1" si="37"/>
        <v>#REF!</v>
      </c>
      <c r="AM338" s="33" t="str">
        <f t="shared" si="38"/>
        <v/>
      </c>
      <c r="AN338" s="33" t="e">
        <f t="shared" ca="1" si="39"/>
        <v>#REF!</v>
      </c>
      <c r="AO338" s="174" t="e">
        <f t="shared" ca="1" si="40"/>
        <v>#REF!</v>
      </c>
      <c r="AP338" s="174" t="e">
        <f t="shared" ca="1" si="41"/>
        <v>#REF!</v>
      </c>
    </row>
    <row r="339" spans="1:42">
      <c r="A339" s="33" t="str">
        <f t="shared" si="35"/>
        <v/>
      </c>
      <c r="I339" s="33"/>
      <c r="J339" s="173" t="str" cm="1">
        <f t="array" aca="1" ref="J339" ca="1">IFERROR(_xlfn.IFS(OR(AL339&lt;&gt;"",AP339&lt;&gt;""),"STCOアサイン済",OR(AN339&lt;&gt;"",AO339&lt;&gt;""),"CHAT中"),"")</f>
        <v/>
      </c>
      <c r="K339" s="33"/>
      <c r="L339" s="33"/>
      <c r="M339" s="33"/>
      <c r="N339" s="33"/>
      <c r="O339" s="33"/>
      <c r="AK339" s="33">
        <f t="shared" si="36"/>
        <v>0</v>
      </c>
      <c r="AL339" s="33" t="e">
        <f t="shared" ca="1" si="37"/>
        <v>#REF!</v>
      </c>
      <c r="AM339" s="33" t="str">
        <f t="shared" si="38"/>
        <v/>
      </c>
      <c r="AN339" s="33" t="e">
        <f t="shared" ca="1" si="39"/>
        <v>#REF!</v>
      </c>
      <c r="AO339" s="174" t="e">
        <f t="shared" ca="1" si="40"/>
        <v>#REF!</v>
      </c>
      <c r="AP339" s="174" t="e">
        <f t="shared" ca="1" si="41"/>
        <v>#REF!</v>
      </c>
    </row>
    <row r="340" spans="1:42">
      <c r="A340" s="33" t="str">
        <f t="shared" si="35"/>
        <v/>
      </c>
      <c r="I340" s="33"/>
      <c r="J340" s="173" t="str" cm="1">
        <f t="array" aca="1" ref="J340" ca="1">IFERROR(_xlfn.IFS(OR(AL340&lt;&gt;"",AP340&lt;&gt;""),"STCOアサイン済",OR(AN340&lt;&gt;"",AO340&lt;&gt;""),"CHAT中"),"")</f>
        <v/>
      </c>
      <c r="K340" s="33"/>
      <c r="L340" s="33"/>
      <c r="M340" s="33"/>
      <c r="N340" s="33"/>
      <c r="O340" s="33"/>
      <c r="AK340" s="33">
        <f t="shared" si="36"/>
        <v>0</v>
      </c>
      <c r="AL340" s="33" t="e">
        <f t="shared" ca="1" si="37"/>
        <v>#REF!</v>
      </c>
      <c r="AM340" s="33" t="str">
        <f t="shared" si="38"/>
        <v/>
      </c>
      <c r="AN340" s="33" t="e">
        <f t="shared" ca="1" si="39"/>
        <v>#REF!</v>
      </c>
      <c r="AO340" s="174" t="e">
        <f t="shared" ca="1" si="40"/>
        <v>#REF!</v>
      </c>
      <c r="AP340" s="174" t="e">
        <f t="shared" ca="1" si="41"/>
        <v>#REF!</v>
      </c>
    </row>
    <row r="341" spans="1:42">
      <c r="A341" s="33" t="str">
        <f t="shared" si="35"/>
        <v/>
      </c>
      <c r="I341" s="33"/>
      <c r="J341" s="173" t="str" cm="1">
        <f t="array" aca="1" ref="J341" ca="1">IFERROR(_xlfn.IFS(OR(AL341&lt;&gt;"",AP341&lt;&gt;""),"STCOアサイン済",OR(AN341&lt;&gt;"",AO341&lt;&gt;""),"CHAT中"),"")</f>
        <v/>
      </c>
      <c r="K341" s="33"/>
      <c r="L341" s="33"/>
      <c r="M341" s="33"/>
      <c r="N341" s="33"/>
      <c r="O341" s="33"/>
      <c r="AK341" s="33">
        <f t="shared" si="36"/>
        <v>0</v>
      </c>
      <c r="AL341" s="33" t="e">
        <f t="shared" ca="1" si="37"/>
        <v>#REF!</v>
      </c>
      <c r="AM341" s="33" t="str">
        <f t="shared" si="38"/>
        <v/>
      </c>
      <c r="AN341" s="33" t="e">
        <f t="shared" ca="1" si="39"/>
        <v>#REF!</v>
      </c>
      <c r="AO341" s="174" t="e">
        <f t="shared" ca="1" si="40"/>
        <v>#REF!</v>
      </c>
      <c r="AP341" s="174" t="e">
        <f t="shared" ca="1" si="41"/>
        <v>#REF!</v>
      </c>
    </row>
    <row r="342" spans="1:42">
      <c r="A342" s="33" t="str">
        <f t="shared" si="35"/>
        <v/>
      </c>
      <c r="I342" s="33"/>
      <c r="J342" s="173" t="str" cm="1">
        <f t="array" aca="1" ref="J342" ca="1">IFERROR(_xlfn.IFS(OR(AL342&lt;&gt;"",AP342&lt;&gt;""),"STCOアサイン済",OR(AN342&lt;&gt;"",AO342&lt;&gt;""),"CHAT中"),"")</f>
        <v/>
      </c>
      <c r="K342" s="33"/>
      <c r="L342" s="33"/>
      <c r="M342" s="33"/>
      <c r="N342" s="33"/>
      <c r="O342" s="33"/>
      <c r="AK342" s="33">
        <f t="shared" si="36"/>
        <v>0</v>
      </c>
      <c r="AL342" s="33" t="e">
        <f t="shared" ca="1" si="37"/>
        <v>#REF!</v>
      </c>
      <c r="AM342" s="33" t="str">
        <f t="shared" si="38"/>
        <v/>
      </c>
      <c r="AN342" s="33" t="e">
        <f t="shared" ca="1" si="39"/>
        <v>#REF!</v>
      </c>
      <c r="AO342" s="174" t="e">
        <f t="shared" ca="1" si="40"/>
        <v>#REF!</v>
      </c>
      <c r="AP342" s="174" t="e">
        <f t="shared" ca="1" si="41"/>
        <v>#REF!</v>
      </c>
    </row>
    <row r="343" spans="1:42">
      <c r="A343" s="33" t="str">
        <f t="shared" si="35"/>
        <v/>
      </c>
      <c r="I343" s="33"/>
      <c r="J343" s="173" t="str" cm="1">
        <f t="array" aca="1" ref="J343" ca="1">IFERROR(_xlfn.IFS(OR(AL343&lt;&gt;"",AP343&lt;&gt;""),"STCOアサイン済",OR(AN343&lt;&gt;"",AO343&lt;&gt;""),"CHAT中"),"")</f>
        <v/>
      </c>
      <c r="K343" s="33"/>
      <c r="L343" s="33"/>
      <c r="M343" s="33"/>
      <c r="N343" s="33"/>
      <c r="O343" s="33"/>
      <c r="AK343" s="33">
        <f t="shared" si="36"/>
        <v>0</v>
      </c>
      <c r="AL343" s="33" t="e">
        <f t="shared" ca="1" si="37"/>
        <v>#REF!</v>
      </c>
      <c r="AM343" s="33" t="str">
        <f t="shared" si="38"/>
        <v/>
      </c>
      <c r="AN343" s="33" t="e">
        <f t="shared" ca="1" si="39"/>
        <v>#REF!</v>
      </c>
      <c r="AO343" s="174" t="e">
        <f t="shared" ca="1" si="40"/>
        <v>#REF!</v>
      </c>
      <c r="AP343" s="174" t="e">
        <f t="shared" ca="1" si="41"/>
        <v>#REF!</v>
      </c>
    </row>
    <row r="344" spans="1:42">
      <c r="A344" s="33" t="str">
        <f t="shared" si="35"/>
        <v/>
      </c>
      <c r="I344" s="33"/>
      <c r="J344" s="173" t="str" cm="1">
        <f t="array" aca="1" ref="J344" ca="1">IFERROR(_xlfn.IFS(OR(AL344&lt;&gt;"",AP344&lt;&gt;""),"STCOアサイン済",OR(AN344&lt;&gt;"",AO344&lt;&gt;""),"CHAT中"),"")</f>
        <v/>
      </c>
      <c r="K344" s="33"/>
      <c r="L344" s="33"/>
      <c r="M344" s="33"/>
      <c r="N344" s="33"/>
      <c r="O344" s="33"/>
      <c r="AK344" s="33">
        <f t="shared" si="36"/>
        <v>0</v>
      </c>
      <c r="AL344" s="33" t="e">
        <f t="shared" ca="1" si="37"/>
        <v>#REF!</v>
      </c>
      <c r="AM344" s="33" t="str">
        <f t="shared" si="38"/>
        <v/>
      </c>
      <c r="AN344" s="33" t="e">
        <f t="shared" ca="1" si="39"/>
        <v>#REF!</v>
      </c>
      <c r="AO344" s="174" t="e">
        <f t="shared" ca="1" si="40"/>
        <v>#REF!</v>
      </c>
      <c r="AP344" s="174" t="e">
        <f t="shared" ca="1" si="41"/>
        <v>#REF!</v>
      </c>
    </row>
    <row r="345" spans="1:42">
      <c r="A345" s="33" t="str">
        <f t="shared" si="35"/>
        <v/>
      </c>
      <c r="I345" s="33"/>
      <c r="J345" s="173" t="str" cm="1">
        <f t="array" aca="1" ref="J345" ca="1">IFERROR(_xlfn.IFS(OR(AL345&lt;&gt;"",AP345&lt;&gt;""),"STCOアサイン済",OR(AN345&lt;&gt;"",AO345&lt;&gt;""),"CHAT中"),"")</f>
        <v/>
      </c>
      <c r="K345" s="33"/>
      <c r="L345" s="33"/>
      <c r="M345" s="33"/>
      <c r="N345" s="33"/>
      <c r="O345" s="33"/>
      <c r="AK345" s="33">
        <f t="shared" si="36"/>
        <v>0</v>
      </c>
      <c r="AL345" s="33" t="e">
        <f t="shared" ca="1" si="37"/>
        <v>#REF!</v>
      </c>
      <c r="AM345" s="33" t="str">
        <f t="shared" si="38"/>
        <v/>
      </c>
      <c r="AN345" s="33" t="e">
        <f t="shared" ca="1" si="39"/>
        <v>#REF!</v>
      </c>
      <c r="AO345" s="174" t="e">
        <f t="shared" ca="1" si="40"/>
        <v>#REF!</v>
      </c>
      <c r="AP345" s="174" t="e">
        <f t="shared" ca="1" si="41"/>
        <v>#REF!</v>
      </c>
    </row>
    <row r="346" spans="1:42">
      <c r="A346" s="33" t="str">
        <f t="shared" si="35"/>
        <v/>
      </c>
      <c r="I346" s="33"/>
      <c r="J346" s="173" t="str" cm="1">
        <f t="array" aca="1" ref="J346" ca="1">IFERROR(_xlfn.IFS(OR(AL346&lt;&gt;"",AP346&lt;&gt;""),"STCOアサイン済",OR(AN346&lt;&gt;"",AO346&lt;&gt;""),"CHAT中"),"")</f>
        <v/>
      </c>
      <c r="K346" s="33"/>
      <c r="L346" s="33"/>
      <c r="M346" s="33"/>
      <c r="N346" s="33"/>
      <c r="O346" s="33"/>
      <c r="AK346" s="33">
        <f t="shared" si="36"/>
        <v>0</v>
      </c>
      <c r="AL346" s="33" t="e">
        <f t="shared" ca="1" si="37"/>
        <v>#REF!</v>
      </c>
      <c r="AM346" s="33" t="str">
        <f t="shared" si="38"/>
        <v/>
      </c>
      <c r="AN346" s="33" t="e">
        <f t="shared" ca="1" si="39"/>
        <v>#REF!</v>
      </c>
      <c r="AO346" s="174" t="e">
        <f t="shared" ca="1" si="40"/>
        <v>#REF!</v>
      </c>
      <c r="AP346" s="174" t="e">
        <f t="shared" ca="1" si="41"/>
        <v>#REF!</v>
      </c>
    </row>
    <row r="347" spans="1:42">
      <c r="A347" s="33" t="str">
        <f t="shared" si="35"/>
        <v/>
      </c>
      <c r="I347" s="33"/>
      <c r="J347" s="173" t="str" cm="1">
        <f t="array" aca="1" ref="J347" ca="1">IFERROR(_xlfn.IFS(OR(AL347&lt;&gt;"",AP347&lt;&gt;""),"STCOアサイン済",OR(AN347&lt;&gt;"",AO347&lt;&gt;""),"CHAT中"),"")</f>
        <v/>
      </c>
      <c r="K347" s="33"/>
      <c r="L347" s="33"/>
      <c r="M347" s="33"/>
      <c r="N347" s="33"/>
      <c r="O347" s="33"/>
      <c r="AK347" s="33">
        <f t="shared" si="36"/>
        <v>0</v>
      </c>
      <c r="AL347" s="33" t="e">
        <f t="shared" ca="1" si="37"/>
        <v>#REF!</v>
      </c>
      <c r="AM347" s="33" t="str">
        <f t="shared" si="38"/>
        <v/>
      </c>
      <c r="AN347" s="33" t="e">
        <f t="shared" ca="1" si="39"/>
        <v>#REF!</v>
      </c>
      <c r="AO347" s="174" t="e">
        <f t="shared" ca="1" si="40"/>
        <v>#REF!</v>
      </c>
      <c r="AP347" s="174" t="e">
        <f t="shared" ca="1" si="41"/>
        <v>#REF!</v>
      </c>
    </row>
    <row r="348" spans="1:42">
      <c r="A348" s="33" t="str">
        <f t="shared" si="35"/>
        <v/>
      </c>
      <c r="I348" s="33"/>
      <c r="J348" s="173" t="str" cm="1">
        <f t="array" aca="1" ref="J348" ca="1">IFERROR(_xlfn.IFS(OR(AL348&lt;&gt;"",AP348&lt;&gt;""),"STCOアサイン済",OR(AN348&lt;&gt;"",AO348&lt;&gt;""),"CHAT中"),"")</f>
        <v/>
      </c>
      <c r="K348" s="33"/>
      <c r="L348" s="33"/>
      <c r="M348" s="33"/>
      <c r="N348" s="33"/>
      <c r="O348" s="33"/>
      <c r="AK348" s="33">
        <f t="shared" si="36"/>
        <v>0</v>
      </c>
      <c r="AL348" s="33" t="e">
        <f t="shared" ca="1" si="37"/>
        <v>#REF!</v>
      </c>
      <c r="AM348" s="33" t="str">
        <f t="shared" si="38"/>
        <v/>
      </c>
      <c r="AN348" s="33" t="e">
        <f t="shared" ca="1" si="39"/>
        <v>#REF!</v>
      </c>
      <c r="AO348" s="174" t="e">
        <f t="shared" ca="1" si="40"/>
        <v>#REF!</v>
      </c>
      <c r="AP348" s="174" t="e">
        <f t="shared" ca="1" si="41"/>
        <v>#REF!</v>
      </c>
    </row>
    <row r="349" spans="1:42">
      <c r="A349" s="33" t="str">
        <f t="shared" si="35"/>
        <v/>
      </c>
      <c r="I349" s="33"/>
      <c r="J349" s="173" t="str" cm="1">
        <f t="array" aca="1" ref="J349" ca="1">IFERROR(_xlfn.IFS(OR(AL349&lt;&gt;"",AP349&lt;&gt;""),"STCOアサイン済",OR(AN349&lt;&gt;"",AO349&lt;&gt;""),"CHAT中"),"")</f>
        <v/>
      </c>
      <c r="K349" s="33"/>
      <c r="L349" s="33"/>
      <c r="M349" s="33"/>
      <c r="N349" s="33"/>
      <c r="O349" s="33"/>
      <c r="AK349" s="33">
        <f t="shared" si="36"/>
        <v>0</v>
      </c>
      <c r="AL349" s="33" t="e">
        <f t="shared" ca="1" si="37"/>
        <v>#REF!</v>
      </c>
      <c r="AM349" s="33" t="str">
        <f t="shared" si="38"/>
        <v/>
      </c>
      <c r="AN349" s="33" t="e">
        <f t="shared" ca="1" si="39"/>
        <v>#REF!</v>
      </c>
      <c r="AO349" s="174" t="e">
        <f t="shared" ca="1" si="40"/>
        <v>#REF!</v>
      </c>
      <c r="AP349" s="174" t="e">
        <f t="shared" ca="1" si="41"/>
        <v>#REF!</v>
      </c>
    </row>
    <row r="350" spans="1:42">
      <c r="A350" s="33" t="str">
        <f t="shared" si="35"/>
        <v/>
      </c>
      <c r="I350" s="33"/>
      <c r="J350" s="173" t="str" cm="1">
        <f t="array" aca="1" ref="J350" ca="1">IFERROR(_xlfn.IFS(OR(AL350&lt;&gt;"",AP350&lt;&gt;""),"STCOアサイン済",OR(AN350&lt;&gt;"",AO350&lt;&gt;""),"CHAT中"),"")</f>
        <v/>
      </c>
      <c r="K350" s="33"/>
      <c r="L350" s="33"/>
      <c r="M350" s="33"/>
      <c r="N350" s="33"/>
      <c r="O350" s="33"/>
      <c r="AK350" s="33">
        <f t="shared" si="36"/>
        <v>0</v>
      </c>
      <c r="AL350" s="33" t="e">
        <f t="shared" ca="1" si="37"/>
        <v>#REF!</v>
      </c>
      <c r="AM350" s="33" t="str">
        <f t="shared" si="38"/>
        <v/>
      </c>
      <c r="AN350" s="33" t="e">
        <f t="shared" ca="1" si="39"/>
        <v>#REF!</v>
      </c>
      <c r="AO350" s="174" t="e">
        <f t="shared" ca="1" si="40"/>
        <v>#REF!</v>
      </c>
      <c r="AP350" s="174" t="e">
        <f t="shared" ca="1" si="41"/>
        <v>#REF!</v>
      </c>
    </row>
    <row r="351" spans="1:42">
      <c r="A351" s="33" t="str">
        <f t="shared" si="35"/>
        <v/>
      </c>
      <c r="I351" s="33"/>
      <c r="J351" s="173" t="str" cm="1">
        <f t="array" aca="1" ref="J351" ca="1">IFERROR(_xlfn.IFS(OR(AL351&lt;&gt;"",AP351&lt;&gt;""),"STCOアサイン済",OR(AN351&lt;&gt;"",AO351&lt;&gt;""),"CHAT中"),"")</f>
        <v/>
      </c>
      <c r="K351" s="33"/>
      <c r="L351" s="33"/>
      <c r="M351" s="33"/>
      <c r="N351" s="33"/>
      <c r="O351" s="33"/>
      <c r="AK351" s="33">
        <f t="shared" si="36"/>
        <v>0</v>
      </c>
      <c r="AL351" s="33" t="e">
        <f t="shared" ca="1" si="37"/>
        <v>#REF!</v>
      </c>
      <c r="AM351" s="33" t="str">
        <f t="shared" si="38"/>
        <v/>
      </c>
      <c r="AN351" s="33" t="e">
        <f t="shared" ca="1" si="39"/>
        <v>#REF!</v>
      </c>
      <c r="AO351" s="174" t="e">
        <f t="shared" ca="1" si="40"/>
        <v>#REF!</v>
      </c>
      <c r="AP351" s="174" t="e">
        <f t="shared" ca="1" si="41"/>
        <v>#REF!</v>
      </c>
    </row>
    <row r="352" spans="1:42">
      <c r="A352" s="33" t="str">
        <f t="shared" si="35"/>
        <v/>
      </c>
      <c r="I352" s="33"/>
      <c r="J352" s="173" t="str" cm="1">
        <f t="array" aca="1" ref="J352" ca="1">IFERROR(_xlfn.IFS(OR(AL352&lt;&gt;"",AP352&lt;&gt;""),"STCOアサイン済",OR(AN352&lt;&gt;"",AO352&lt;&gt;""),"CHAT中"),"")</f>
        <v/>
      </c>
      <c r="K352" s="33"/>
      <c r="L352" s="33"/>
      <c r="M352" s="33"/>
      <c r="N352" s="33"/>
      <c r="O352" s="33"/>
      <c r="AK352" s="33">
        <f t="shared" si="36"/>
        <v>0</v>
      </c>
      <c r="AL352" s="33" t="e">
        <f t="shared" ca="1" si="37"/>
        <v>#REF!</v>
      </c>
      <c r="AM352" s="33" t="str">
        <f t="shared" si="38"/>
        <v/>
      </c>
      <c r="AN352" s="33" t="e">
        <f t="shared" ca="1" si="39"/>
        <v>#REF!</v>
      </c>
      <c r="AO352" s="174" t="e">
        <f t="shared" ca="1" si="40"/>
        <v>#REF!</v>
      </c>
      <c r="AP352" s="174" t="e">
        <f t="shared" ca="1" si="41"/>
        <v>#REF!</v>
      </c>
    </row>
    <row r="353" spans="1:42">
      <c r="A353" s="33" t="str">
        <f t="shared" si="35"/>
        <v/>
      </c>
      <c r="I353" s="33"/>
      <c r="J353" s="173" t="str" cm="1">
        <f t="array" aca="1" ref="J353" ca="1">IFERROR(_xlfn.IFS(OR(AL353&lt;&gt;"",AP353&lt;&gt;""),"STCOアサイン済",OR(AN353&lt;&gt;"",AO353&lt;&gt;""),"CHAT中"),"")</f>
        <v/>
      </c>
      <c r="K353" s="33"/>
      <c r="L353" s="33"/>
      <c r="M353" s="33"/>
      <c r="N353" s="33"/>
      <c r="O353" s="33"/>
      <c r="AK353" s="33">
        <f t="shared" si="36"/>
        <v>0</v>
      </c>
      <c r="AL353" s="33" t="e">
        <f t="shared" ca="1" si="37"/>
        <v>#REF!</v>
      </c>
      <c r="AM353" s="33" t="str">
        <f t="shared" si="38"/>
        <v/>
      </c>
      <c r="AN353" s="33" t="e">
        <f t="shared" ca="1" si="39"/>
        <v>#REF!</v>
      </c>
      <c r="AO353" s="174" t="e">
        <f t="shared" ca="1" si="40"/>
        <v>#REF!</v>
      </c>
      <c r="AP353" s="174" t="e">
        <f t="shared" ca="1" si="41"/>
        <v>#REF!</v>
      </c>
    </row>
    <row r="354" spans="1:42">
      <c r="A354" s="33" t="str">
        <f t="shared" si="35"/>
        <v/>
      </c>
      <c r="I354" s="33"/>
      <c r="J354" s="173" t="str" cm="1">
        <f t="array" aca="1" ref="J354" ca="1">IFERROR(_xlfn.IFS(OR(AL354&lt;&gt;"",AP354&lt;&gt;""),"STCOアサイン済",OR(AN354&lt;&gt;"",AO354&lt;&gt;""),"CHAT中"),"")</f>
        <v/>
      </c>
      <c r="K354" s="33"/>
      <c r="L354" s="33"/>
      <c r="M354" s="33"/>
      <c r="N354" s="33"/>
      <c r="O354" s="33"/>
      <c r="AK354" s="33">
        <f t="shared" si="36"/>
        <v>0</v>
      </c>
      <c r="AL354" s="33" t="e">
        <f t="shared" ca="1" si="37"/>
        <v>#REF!</v>
      </c>
      <c r="AM354" s="33" t="str">
        <f t="shared" si="38"/>
        <v/>
      </c>
      <c r="AN354" s="33" t="e">
        <f t="shared" ca="1" si="39"/>
        <v>#REF!</v>
      </c>
      <c r="AO354" s="174" t="e">
        <f t="shared" ca="1" si="40"/>
        <v>#REF!</v>
      </c>
      <c r="AP354" s="174" t="e">
        <f t="shared" ca="1" si="41"/>
        <v>#REF!</v>
      </c>
    </row>
    <row r="355" spans="1:42">
      <c r="A355" s="33" t="str">
        <f t="shared" si="35"/>
        <v/>
      </c>
      <c r="I355" s="33"/>
      <c r="J355" s="173" t="str" cm="1">
        <f t="array" aca="1" ref="J355" ca="1">IFERROR(_xlfn.IFS(OR(AL355&lt;&gt;"",AP355&lt;&gt;""),"STCOアサイン済",OR(AN355&lt;&gt;"",AO355&lt;&gt;""),"CHAT中"),"")</f>
        <v/>
      </c>
      <c r="K355" s="33"/>
      <c r="L355" s="33"/>
      <c r="M355" s="33"/>
      <c r="N355" s="33"/>
      <c r="O355" s="33"/>
      <c r="AK355" s="33">
        <f t="shared" si="36"/>
        <v>0</v>
      </c>
      <c r="AL355" s="33" t="e">
        <f t="shared" ca="1" si="37"/>
        <v>#REF!</v>
      </c>
      <c r="AM355" s="33" t="str">
        <f t="shared" si="38"/>
        <v/>
      </c>
      <c r="AN355" s="33" t="e">
        <f t="shared" ca="1" si="39"/>
        <v>#REF!</v>
      </c>
      <c r="AO355" s="174" t="e">
        <f t="shared" ca="1" si="40"/>
        <v>#REF!</v>
      </c>
      <c r="AP355" s="174" t="e">
        <f t="shared" ca="1" si="41"/>
        <v>#REF!</v>
      </c>
    </row>
    <row r="356" spans="1:42">
      <c r="A356" s="33" t="str">
        <f t="shared" si="35"/>
        <v/>
      </c>
      <c r="I356" s="33"/>
      <c r="J356" s="173" t="str" cm="1">
        <f t="array" aca="1" ref="J356" ca="1">IFERROR(_xlfn.IFS(OR(AL356&lt;&gt;"",AP356&lt;&gt;""),"STCOアサイン済",OR(AN356&lt;&gt;"",AO356&lt;&gt;""),"CHAT中"),"")</f>
        <v/>
      </c>
      <c r="K356" s="33"/>
      <c r="L356" s="33"/>
      <c r="M356" s="33"/>
      <c r="N356" s="33"/>
      <c r="O356" s="33"/>
      <c r="AK356" s="33">
        <f t="shared" si="36"/>
        <v>0</v>
      </c>
      <c r="AL356" s="33" t="e">
        <f t="shared" ca="1" si="37"/>
        <v>#REF!</v>
      </c>
      <c r="AM356" s="33" t="str">
        <f t="shared" si="38"/>
        <v/>
      </c>
      <c r="AN356" s="33" t="e">
        <f t="shared" ca="1" si="39"/>
        <v>#REF!</v>
      </c>
      <c r="AO356" s="174" t="e">
        <f t="shared" ca="1" si="40"/>
        <v>#REF!</v>
      </c>
      <c r="AP356" s="174" t="e">
        <f t="shared" ca="1" si="41"/>
        <v>#REF!</v>
      </c>
    </row>
    <row r="357" spans="1:42">
      <c r="A357" s="33" t="str">
        <f t="shared" si="35"/>
        <v/>
      </c>
      <c r="I357" s="33"/>
      <c r="J357" s="173" t="str" cm="1">
        <f t="array" aca="1" ref="J357" ca="1">IFERROR(_xlfn.IFS(OR(AL357&lt;&gt;"",AP357&lt;&gt;""),"STCOアサイン済",OR(AN357&lt;&gt;"",AO357&lt;&gt;""),"CHAT中"),"")</f>
        <v/>
      </c>
      <c r="K357" s="33"/>
      <c r="L357" s="33"/>
      <c r="M357" s="33"/>
      <c r="N357" s="33"/>
      <c r="O357" s="33"/>
      <c r="AK357" s="33">
        <f t="shared" si="36"/>
        <v>0</v>
      </c>
      <c r="AL357" s="33" t="e">
        <f t="shared" ca="1" si="37"/>
        <v>#REF!</v>
      </c>
      <c r="AM357" s="33" t="str">
        <f t="shared" si="38"/>
        <v/>
      </c>
      <c r="AN357" s="33" t="e">
        <f t="shared" ca="1" si="39"/>
        <v>#REF!</v>
      </c>
      <c r="AO357" s="174" t="e">
        <f t="shared" ca="1" si="40"/>
        <v>#REF!</v>
      </c>
      <c r="AP357" s="174" t="e">
        <f t="shared" ca="1" si="41"/>
        <v>#REF!</v>
      </c>
    </row>
    <row r="358" spans="1:42">
      <c r="A358" s="33" t="str">
        <f t="shared" si="35"/>
        <v/>
      </c>
      <c r="I358" s="33"/>
      <c r="J358" s="173" t="str" cm="1">
        <f t="array" aca="1" ref="J358" ca="1">IFERROR(_xlfn.IFS(OR(AL358&lt;&gt;"",AP358&lt;&gt;""),"STCOアサイン済",OR(AN358&lt;&gt;"",AO358&lt;&gt;""),"CHAT中"),"")</f>
        <v/>
      </c>
      <c r="K358" s="33"/>
      <c r="L358" s="33"/>
      <c r="M358" s="33"/>
      <c r="N358" s="33"/>
      <c r="O358" s="33"/>
      <c r="AK358" s="33">
        <f t="shared" si="36"/>
        <v>0</v>
      </c>
      <c r="AL358" s="33" t="e">
        <f t="shared" ca="1" si="37"/>
        <v>#REF!</v>
      </c>
      <c r="AM358" s="33" t="str">
        <f t="shared" si="38"/>
        <v/>
      </c>
      <c r="AN358" s="33" t="e">
        <f t="shared" ca="1" si="39"/>
        <v>#REF!</v>
      </c>
      <c r="AO358" s="174" t="e">
        <f t="shared" ca="1" si="40"/>
        <v>#REF!</v>
      </c>
      <c r="AP358" s="174" t="e">
        <f t="shared" ca="1" si="41"/>
        <v>#REF!</v>
      </c>
    </row>
    <row r="359" spans="1:42">
      <c r="A359" s="33" t="str">
        <f t="shared" si="35"/>
        <v/>
      </c>
      <c r="I359" s="33"/>
      <c r="J359" s="173" t="str" cm="1">
        <f t="array" aca="1" ref="J359" ca="1">IFERROR(_xlfn.IFS(OR(AL359&lt;&gt;"",AP359&lt;&gt;""),"STCOアサイン済",OR(AN359&lt;&gt;"",AO359&lt;&gt;""),"CHAT中"),"")</f>
        <v/>
      </c>
      <c r="K359" s="33"/>
      <c r="L359" s="33"/>
      <c r="M359" s="33"/>
      <c r="N359" s="33"/>
      <c r="O359" s="33"/>
      <c r="AK359" s="33">
        <f t="shared" si="36"/>
        <v>0</v>
      </c>
      <c r="AL359" s="33" t="e">
        <f t="shared" ca="1" si="37"/>
        <v>#REF!</v>
      </c>
      <c r="AM359" s="33" t="str">
        <f t="shared" si="38"/>
        <v/>
      </c>
      <c r="AN359" s="33" t="e">
        <f t="shared" ca="1" si="39"/>
        <v>#REF!</v>
      </c>
      <c r="AO359" s="174" t="e">
        <f t="shared" ca="1" si="40"/>
        <v>#REF!</v>
      </c>
      <c r="AP359" s="174" t="e">
        <f t="shared" ca="1" si="41"/>
        <v>#REF!</v>
      </c>
    </row>
    <row r="360" spans="1:42">
      <c r="A360" s="33" t="str">
        <f t="shared" si="35"/>
        <v/>
      </c>
      <c r="I360" s="33"/>
      <c r="J360" s="173" t="str" cm="1">
        <f t="array" aca="1" ref="J360" ca="1">IFERROR(_xlfn.IFS(OR(AL360&lt;&gt;"",AP360&lt;&gt;""),"STCOアサイン済",OR(AN360&lt;&gt;"",AO360&lt;&gt;""),"CHAT中"),"")</f>
        <v/>
      </c>
      <c r="K360" s="33"/>
      <c r="L360" s="33"/>
      <c r="M360" s="33"/>
      <c r="N360" s="33"/>
      <c r="O360" s="33"/>
      <c r="AK360" s="33">
        <f t="shared" si="36"/>
        <v>0</v>
      </c>
      <c r="AL360" s="33" t="e">
        <f t="shared" ca="1" si="37"/>
        <v>#REF!</v>
      </c>
      <c r="AM360" s="33" t="str">
        <f t="shared" si="38"/>
        <v/>
      </c>
      <c r="AN360" s="33" t="e">
        <f t="shared" ca="1" si="39"/>
        <v>#REF!</v>
      </c>
      <c r="AO360" s="174" t="e">
        <f t="shared" ca="1" si="40"/>
        <v>#REF!</v>
      </c>
      <c r="AP360" s="174" t="e">
        <f t="shared" ca="1" si="41"/>
        <v>#REF!</v>
      </c>
    </row>
    <row r="361" spans="1:42">
      <c r="A361" s="33" t="str">
        <f t="shared" si="35"/>
        <v/>
      </c>
      <c r="I361" s="33"/>
      <c r="J361" s="173" t="str" cm="1">
        <f t="array" aca="1" ref="J361" ca="1">IFERROR(_xlfn.IFS(OR(AL361&lt;&gt;"",AP361&lt;&gt;""),"STCOアサイン済",OR(AN361&lt;&gt;"",AO361&lt;&gt;""),"CHAT中"),"")</f>
        <v/>
      </c>
      <c r="K361" s="33"/>
      <c r="L361" s="33"/>
      <c r="M361" s="33"/>
      <c r="N361" s="33"/>
      <c r="O361" s="33"/>
      <c r="AK361" s="33">
        <f t="shared" si="36"/>
        <v>0</v>
      </c>
      <c r="AL361" s="33" t="e">
        <f t="shared" ca="1" si="37"/>
        <v>#REF!</v>
      </c>
      <c r="AM361" s="33" t="str">
        <f t="shared" si="38"/>
        <v/>
      </c>
      <c r="AN361" s="33" t="e">
        <f t="shared" ca="1" si="39"/>
        <v>#REF!</v>
      </c>
      <c r="AO361" s="174" t="e">
        <f t="shared" ca="1" si="40"/>
        <v>#REF!</v>
      </c>
      <c r="AP361" s="174" t="e">
        <f t="shared" ca="1" si="41"/>
        <v>#REF!</v>
      </c>
    </row>
    <row r="362" spans="1:42">
      <c r="A362" s="33" t="str">
        <f t="shared" si="35"/>
        <v/>
      </c>
      <c r="I362" s="33"/>
      <c r="J362" s="173" t="str" cm="1">
        <f t="array" aca="1" ref="J362" ca="1">IFERROR(_xlfn.IFS(OR(AL362&lt;&gt;"",AP362&lt;&gt;""),"STCOアサイン済",OR(AN362&lt;&gt;"",AO362&lt;&gt;""),"CHAT中"),"")</f>
        <v/>
      </c>
      <c r="K362" s="33"/>
      <c r="L362" s="33"/>
      <c r="M362" s="33"/>
      <c r="N362" s="33"/>
      <c r="O362" s="33"/>
      <c r="AK362" s="33">
        <f t="shared" si="36"/>
        <v>0</v>
      </c>
      <c r="AL362" s="33" t="e">
        <f t="shared" ca="1" si="37"/>
        <v>#REF!</v>
      </c>
      <c r="AM362" s="33" t="str">
        <f t="shared" si="38"/>
        <v/>
      </c>
      <c r="AN362" s="33" t="e">
        <f t="shared" ca="1" si="39"/>
        <v>#REF!</v>
      </c>
      <c r="AO362" s="174" t="e">
        <f t="shared" ca="1" si="40"/>
        <v>#REF!</v>
      </c>
      <c r="AP362" s="174" t="e">
        <f t="shared" ca="1" si="41"/>
        <v>#REF!</v>
      </c>
    </row>
    <row r="363" spans="1:42">
      <c r="A363" s="33" t="str">
        <f t="shared" si="35"/>
        <v/>
      </c>
      <c r="I363" s="33"/>
      <c r="J363" s="173" t="str" cm="1">
        <f t="array" aca="1" ref="J363" ca="1">IFERROR(_xlfn.IFS(OR(AL363&lt;&gt;"",AP363&lt;&gt;""),"STCOアサイン済",OR(AN363&lt;&gt;"",AO363&lt;&gt;""),"CHAT中"),"")</f>
        <v/>
      </c>
      <c r="K363" s="33"/>
      <c r="L363" s="33"/>
      <c r="M363" s="33"/>
      <c r="N363" s="33"/>
      <c r="O363" s="33"/>
      <c r="AK363" s="33">
        <f t="shared" si="36"/>
        <v>0</v>
      </c>
      <c r="AL363" s="33" t="e">
        <f t="shared" ca="1" si="37"/>
        <v>#REF!</v>
      </c>
      <c r="AM363" s="33" t="str">
        <f t="shared" si="38"/>
        <v/>
      </c>
      <c r="AN363" s="33" t="e">
        <f t="shared" ca="1" si="39"/>
        <v>#REF!</v>
      </c>
      <c r="AO363" s="174" t="e">
        <f t="shared" ca="1" si="40"/>
        <v>#REF!</v>
      </c>
      <c r="AP363" s="174" t="e">
        <f t="shared" ca="1" si="41"/>
        <v>#REF!</v>
      </c>
    </row>
    <row r="364" spans="1:42">
      <c r="A364" s="33" t="str">
        <f t="shared" si="35"/>
        <v/>
      </c>
      <c r="I364" s="33"/>
      <c r="J364" s="173" t="str" cm="1">
        <f t="array" aca="1" ref="J364" ca="1">IFERROR(_xlfn.IFS(OR(AL364&lt;&gt;"",AP364&lt;&gt;""),"STCOアサイン済",OR(AN364&lt;&gt;"",AO364&lt;&gt;""),"CHAT中"),"")</f>
        <v/>
      </c>
      <c r="K364" s="33"/>
      <c r="L364" s="33"/>
      <c r="M364" s="33"/>
      <c r="N364" s="33"/>
      <c r="O364" s="33"/>
      <c r="AK364" s="33">
        <f t="shared" si="36"/>
        <v>0</v>
      </c>
      <c r="AL364" s="33" t="e">
        <f t="shared" ca="1" si="37"/>
        <v>#REF!</v>
      </c>
      <c r="AM364" s="33" t="str">
        <f t="shared" si="38"/>
        <v/>
      </c>
      <c r="AN364" s="33" t="e">
        <f t="shared" ca="1" si="39"/>
        <v>#REF!</v>
      </c>
      <c r="AO364" s="174" t="e">
        <f t="shared" ca="1" si="40"/>
        <v>#REF!</v>
      </c>
      <c r="AP364" s="174" t="e">
        <f t="shared" ca="1" si="41"/>
        <v>#REF!</v>
      </c>
    </row>
    <row r="365" spans="1:42">
      <c r="A365" s="33" t="str">
        <f t="shared" si="35"/>
        <v/>
      </c>
      <c r="I365" s="33"/>
      <c r="J365" s="173" t="str" cm="1">
        <f t="array" aca="1" ref="J365" ca="1">IFERROR(_xlfn.IFS(OR(AL365&lt;&gt;"",AP365&lt;&gt;""),"STCOアサイン済",OR(AN365&lt;&gt;"",AO365&lt;&gt;""),"CHAT中"),"")</f>
        <v/>
      </c>
      <c r="K365" s="33"/>
      <c r="L365" s="33"/>
      <c r="M365" s="33"/>
      <c r="N365" s="33"/>
      <c r="O365" s="33"/>
      <c r="AK365" s="33">
        <f t="shared" si="36"/>
        <v>0</v>
      </c>
      <c r="AL365" s="33" t="e">
        <f t="shared" ca="1" si="37"/>
        <v>#REF!</v>
      </c>
      <c r="AM365" s="33" t="str">
        <f t="shared" si="38"/>
        <v/>
      </c>
      <c r="AN365" s="33" t="e">
        <f t="shared" ca="1" si="39"/>
        <v>#REF!</v>
      </c>
      <c r="AO365" s="174" t="e">
        <f t="shared" ca="1" si="40"/>
        <v>#REF!</v>
      </c>
      <c r="AP365" s="174" t="e">
        <f t="shared" ca="1" si="41"/>
        <v>#REF!</v>
      </c>
    </row>
    <row r="366" spans="1:42">
      <c r="A366" s="33" t="str">
        <f t="shared" si="35"/>
        <v/>
      </c>
      <c r="I366" s="33"/>
      <c r="J366" s="173" t="str" cm="1">
        <f t="array" aca="1" ref="J366" ca="1">IFERROR(_xlfn.IFS(OR(AL366&lt;&gt;"",AP366&lt;&gt;""),"STCOアサイン済",OR(AN366&lt;&gt;"",AO366&lt;&gt;""),"CHAT中"),"")</f>
        <v/>
      </c>
      <c r="K366" s="33"/>
      <c r="L366" s="33"/>
      <c r="M366" s="33"/>
      <c r="N366" s="33"/>
      <c r="O366" s="33"/>
      <c r="AK366" s="33">
        <f t="shared" si="36"/>
        <v>0</v>
      </c>
      <c r="AL366" s="33" t="e">
        <f t="shared" ca="1" si="37"/>
        <v>#REF!</v>
      </c>
      <c r="AM366" s="33" t="str">
        <f t="shared" si="38"/>
        <v/>
      </c>
      <c r="AN366" s="33" t="e">
        <f t="shared" ca="1" si="39"/>
        <v>#REF!</v>
      </c>
      <c r="AO366" s="174" t="e">
        <f t="shared" ca="1" si="40"/>
        <v>#REF!</v>
      </c>
      <c r="AP366" s="174" t="e">
        <f t="shared" ca="1" si="41"/>
        <v>#REF!</v>
      </c>
    </row>
    <row r="367" spans="1:42">
      <c r="A367" s="33" t="str">
        <f t="shared" si="35"/>
        <v/>
      </c>
      <c r="I367" s="33"/>
      <c r="J367" s="173" t="str" cm="1">
        <f t="array" aca="1" ref="J367" ca="1">IFERROR(_xlfn.IFS(OR(AL367&lt;&gt;"",AP367&lt;&gt;""),"STCOアサイン済",OR(AN367&lt;&gt;"",AO367&lt;&gt;""),"CHAT中"),"")</f>
        <v/>
      </c>
      <c r="K367" s="33"/>
      <c r="L367" s="33"/>
      <c r="M367" s="33"/>
      <c r="N367" s="33"/>
      <c r="O367" s="33"/>
      <c r="AK367" s="33">
        <f t="shared" si="36"/>
        <v>0</v>
      </c>
      <c r="AL367" s="33" t="e">
        <f t="shared" ca="1" si="37"/>
        <v>#REF!</v>
      </c>
      <c r="AM367" s="33" t="str">
        <f t="shared" si="38"/>
        <v/>
      </c>
      <c r="AN367" s="33" t="e">
        <f t="shared" ca="1" si="39"/>
        <v>#REF!</v>
      </c>
      <c r="AO367" s="174" t="e">
        <f t="shared" ca="1" si="40"/>
        <v>#REF!</v>
      </c>
      <c r="AP367" s="174" t="e">
        <f t="shared" ca="1" si="41"/>
        <v>#REF!</v>
      </c>
    </row>
    <row r="368" spans="1:42">
      <c r="A368" s="33" t="str">
        <f t="shared" si="35"/>
        <v/>
      </c>
      <c r="I368" s="33"/>
      <c r="J368" s="173" t="str" cm="1">
        <f t="array" aca="1" ref="J368" ca="1">IFERROR(_xlfn.IFS(OR(AL368&lt;&gt;"",AP368&lt;&gt;""),"STCOアサイン済",OR(AN368&lt;&gt;"",AO368&lt;&gt;""),"CHAT中"),"")</f>
        <v/>
      </c>
      <c r="K368" s="33"/>
      <c r="L368" s="33"/>
      <c r="M368" s="33"/>
      <c r="N368" s="33"/>
      <c r="O368" s="33"/>
      <c r="AK368" s="33">
        <f t="shared" si="36"/>
        <v>0</v>
      </c>
      <c r="AL368" s="33" t="e">
        <f t="shared" ca="1" si="37"/>
        <v>#REF!</v>
      </c>
      <c r="AM368" s="33" t="str">
        <f t="shared" si="38"/>
        <v/>
      </c>
      <c r="AN368" s="33" t="e">
        <f t="shared" ca="1" si="39"/>
        <v>#REF!</v>
      </c>
      <c r="AO368" s="174" t="e">
        <f t="shared" ca="1" si="40"/>
        <v>#REF!</v>
      </c>
      <c r="AP368" s="174" t="e">
        <f t="shared" ca="1" si="41"/>
        <v>#REF!</v>
      </c>
    </row>
    <row r="369" spans="1:42">
      <c r="A369" s="33" t="str">
        <f t="shared" si="35"/>
        <v/>
      </c>
      <c r="I369" s="33"/>
      <c r="J369" s="173" t="str" cm="1">
        <f t="array" aca="1" ref="J369" ca="1">IFERROR(_xlfn.IFS(OR(AL369&lt;&gt;"",AP369&lt;&gt;""),"STCOアサイン済",OR(AN369&lt;&gt;"",AO369&lt;&gt;""),"CHAT中"),"")</f>
        <v/>
      </c>
      <c r="K369" s="33"/>
      <c r="L369" s="33"/>
      <c r="M369" s="33"/>
      <c r="N369" s="33"/>
      <c r="O369" s="33"/>
      <c r="AK369" s="33">
        <f t="shared" si="36"/>
        <v>0</v>
      </c>
      <c r="AL369" s="33" t="e">
        <f t="shared" ca="1" si="37"/>
        <v>#REF!</v>
      </c>
      <c r="AM369" s="33" t="str">
        <f t="shared" si="38"/>
        <v/>
      </c>
      <c r="AN369" s="33" t="e">
        <f t="shared" ca="1" si="39"/>
        <v>#REF!</v>
      </c>
      <c r="AO369" s="174" t="e">
        <f t="shared" ca="1" si="40"/>
        <v>#REF!</v>
      </c>
      <c r="AP369" s="174" t="e">
        <f t="shared" ca="1" si="41"/>
        <v>#REF!</v>
      </c>
    </row>
    <row r="370" spans="1:42">
      <c r="A370" s="33" t="str">
        <f t="shared" si="35"/>
        <v/>
      </c>
      <c r="I370" s="33"/>
      <c r="J370" s="173" t="str" cm="1">
        <f t="array" aca="1" ref="J370" ca="1">IFERROR(_xlfn.IFS(OR(AL370&lt;&gt;"",AP370&lt;&gt;""),"STCOアサイン済",OR(AN370&lt;&gt;"",AO370&lt;&gt;""),"CHAT中"),"")</f>
        <v/>
      </c>
      <c r="K370" s="33"/>
      <c r="L370" s="33"/>
      <c r="M370" s="33"/>
      <c r="N370" s="33"/>
      <c r="O370" s="33"/>
      <c r="AK370" s="33">
        <f t="shared" si="36"/>
        <v>0</v>
      </c>
      <c r="AL370" s="33" t="e">
        <f t="shared" ca="1" si="37"/>
        <v>#REF!</v>
      </c>
      <c r="AM370" s="33" t="str">
        <f t="shared" si="38"/>
        <v/>
      </c>
      <c r="AN370" s="33" t="e">
        <f t="shared" ca="1" si="39"/>
        <v>#REF!</v>
      </c>
      <c r="AO370" s="174" t="e">
        <f t="shared" ca="1" si="40"/>
        <v>#REF!</v>
      </c>
      <c r="AP370" s="174" t="e">
        <f t="shared" ca="1" si="41"/>
        <v>#REF!</v>
      </c>
    </row>
    <row r="371" spans="1:42">
      <c r="A371" s="33" t="str">
        <f t="shared" si="35"/>
        <v/>
      </c>
      <c r="I371" s="33"/>
      <c r="J371" s="173" t="str" cm="1">
        <f t="array" aca="1" ref="J371" ca="1">IFERROR(_xlfn.IFS(OR(AL371&lt;&gt;"",AP371&lt;&gt;""),"STCOアサイン済",OR(AN371&lt;&gt;"",AO371&lt;&gt;""),"CHAT中"),"")</f>
        <v/>
      </c>
      <c r="K371" s="33"/>
      <c r="L371" s="33"/>
      <c r="M371" s="33"/>
      <c r="N371" s="33"/>
      <c r="O371" s="33"/>
      <c r="AK371" s="33">
        <f t="shared" si="36"/>
        <v>0</v>
      </c>
      <c r="AL371" s="33" t="e">
        <f t="shared" ca="1" si="37"/>
        <v>#REF!</v>
      </c>
      <c r="AM371" s="33" t="str">
        <f t="shared" si="38"/>
        <v/>
      </c>
      <c r="AN371" s="33" t="e">
        <f t="shared" ca="1" si="39"/>
        <v>#REF!</v>
      </c>
      <c r="AO371" s="174" t="e">
        <f t="shared" ca="1" si="40"/>
        <v>#REF!</v>
      </c>
      <c r="AP371" s="174" t="e">
        <f t="shared" ca="1" si="41"/>
        <v>#REF!</v>
      </c>
    </row>
    <row r="372" spans="1:42">
      <c r="A372" s="33" t="str">
        <f t="shared" si="35"/>
        <v/>
      </c>
      <c r="I372" s="33"/>
      <c r="J372" s="173" t="str" cm="1">
        <f t="array" aca="1" ref="J372" ca="1">IFERROR(_xlfn.IFS(OR(AL372&lt;&gt;"",AP372&lt;&gt;""),"STCOアサイン済",OR(AN372&lt;&gt;"",AO372&lt;&gt;""),"CHAT中"),"")</f>
        <v/>
      </c>
      <c r="K372" s="33"/>
      <c r="L372" s="33"/>
      <c r="M372" s="33"/>
      <c r="N372" s="33"/>
      <c r="O372" s="33"/>
      <c r="AK372" s="33">
        <f t="shared" si="36"/>
        <v>0</v>
      </c>
      <c r="AL372" s="33" t="e">
        <f t="shared" ca="1" si="37"/>
        <v>#REF!</v>
      </c>
      <c r="AM372" s="33" t="str">
        <f t="shared" si="38"/>
        <v/>
      </c>
      <c r="AN372" s="33" t="e">
        <f t="shared" ca="1" si="39"/>
        <v>#REF!</v>
      </c>
      <c r="AO372" s="174" t="e">
        <f t="shared" ca="1" si="40"/>
        <v>#REF!</v>
      </c>
      <c r="AP372" s="174" t="e">
        <f t="shared" ca="1" si="41"/>
        <v>#REF!</v>
      </c>
    </row>
    <row r="373" spans="1:42">
      <c r="A373" s="33" t="str">
        <f t="shared" si="35"/>
        <v/>
      </c>
      <c r="I373" s="33"/>
      <c r="J373" s="173" t="str" cm="1">
        <f t="array" aca="1" ref="J373" ca="1">IFERROR(_xlfn.IFS(OR(AL373&lt;&gt;"",AP373&lt;&gt;""),"STCOアサイン済",OR(AN373&lt;&gt;"",AO373&lt;&gt;""),"CHAT中"),"")</f>
        <v/>
      </c>
      <c r="K373" s="33"/>
      <c r="L373" s="33"/>
      <c r="M373" s="33"/>
      <c r="N373" s="33"/>
      <c r="O373" s="33"/>
      <c r="AK373" s="33">
        <f t="shared" si="36"/>
        <v>0</v>
      </c>
      <c r="AL373" s="33" t="e">
        <f t="shared" ca="1" si="37"/>
        <v>#REF!</v>
      </c>
      <c r="AM373" s="33" t="str">
        <f t="shared" si="38"/>
        <v/>
      </c>
      <c r="AN373" s="33" t="e">
        <f t="shared" ca="1" si="39"/>
        <v>#REF!</v>
      </c>
      <c r="AO373" s="174" t="e">
        <f t="shared" ca="1" si="40"/>
        <v>#REF!</v>
      </c>
      <c r="AP373" s="174" t="e">
        <f t="shared" ca="1" si="41"/>
        <v>#REF!</v>
      </c>
    </row>
    <row r="374" spans="1:42">
      <c r="A374" s="33" t="str">
        <f t="shared" si="35"/>
        <v/>
      </c>
      <c r="I374" s="33"/>
      <c r="J374" s="173" t="str" cm="1">
        <f t="array" aca="1" ref="J374" ca="1">IFERROR(_xlfn.IFS(OR(AL374&lt;&gt;"",AP374&lt;&gt;""),"STCOアサイン済",OR(AN374&lt;&gt;"",AO374&lt;&gt;""),"CHAT中"),"")</f>
        <v/>
      </c>
      <c r="K374" s="33"/>
      <c r="L374" s="33"/>
      <c r="M374" s="33"/>
      <c r="N374" s="33"/>
      <c r="O374" s="33"/>
      <c r="AK374" s="33">
        <f t="shared" si="36"/>
        <v>0</v>
      </c>
      <c r="AL374" s="33" t="e">
        <f t="shared" ca="1" si="37"/>
        <v>#REF!</v>
      </c>
      <c r="AM374" s="33" t="str">
        <f t="shared" si="38"/>
        <v/>
      </c>
      <c r="AN374" s="33" t="e">
        <f t="shared" ca="1" si="39"/>
        <v>#REF!</v>
      </c>
      <c r="AO374" s="174" t="e">
        <f t="shared" ca="1" si="40"/>
        <v>#REF!</v>
      </c>
      <c r="AP374" s="174" t="e">
        <f t="shared" ca="1" si="41"/>
        <v>#REF!</v>
      </c>
    </row>
    <row r="375" spans="1:42">
      <c r="A375" s="33" t="str">
        <f t="shared" si="35"/>
        <v/>
      </c>
      <c r="I375" s="33"/>
      <c r="J375" s="173" t="str" cm="1">
        <f t="array" aca="1" ref="J375" ca="1">IFERROR(_xlfn.IFS(OR(AL375&lt;&gt;"",AP375&lt;&gt;""),"STCOアサイン済",OR(AN375&lt;&gt;"",AO375&lt;&gt;""),"CHAT中"),"")</f>
        <v/>
      </c>
      <c r="K375" s="33"/>
      <c r="L375" s="33"/>
      <c r="M375" s="33"/>
      <c r="N375" s="33"/>
      <c r="O375" s="33"/>
      <c r="AK375" s="33">
        <f t="shared" si="36"/>
        <v>0</v>
      </c>
      <c r="AL375" s="33" t="e">
        <f t="shared" ca="1" si="37"/>
        <v>#REF!</v>
      </c>
      <c r="AM375" s="33" t="str">
        <f t="shared" si="38"/>
        <v/>
      </c>
      <c r="AN375" s="33" t="e">
        <f t="shared" ca="1" si="39"/>
        <v>#REF!</v>
      </c>
      <c r="AO375" s="174" t="e">
        <f t="shared" ca="1" si="40"/>
        <v>#REF!</v>
      </c>
      <c r="AP375" s="174" t="e">
        <f t="shared" ca="1" si="41"/>
        <v>#REF!</v>
      </c>
    </row>
    <row r="376" spans="1:42">
      <c r="A376" s="33" t="str">
        <f t="shared" si="35"/>
        <v/>
      </c>
      <c r="I376" s="33"/>
      <c r="J376" s="173" t="str" cm="1">
        <f t="array" aca="1" ref="J376" ca="1">IFERROR(_xlfn.IFS(OR(AL376&lt;&gt;"",AP376&lt;&gt;""),"STCOアサイン済",OR(AN376&lt;&gt;"",AO376&lt;&gt;""),"CHAT中"),"")</f>
        <v/>
      </c>
      <c r="K376" s="33"/>
      <c r="L376" s="33"/>
      <c r="M376" s="33"/>
      <c r="N376" s="33"/>
      <c r="O376" s="33"/>
      <c r="AK376" s="33">
        <f t="shared" si="36"/>
        <v>0</v>
      </c>
      <c r="AL376" s="33" t="e">
        <f t="shared" ca="1" si="37"/>
        <v>#REF!</v>
      </c>
      <c r="AM376" s="33" t="str">
        <f t="shared" si="38"/>
        <v/>
      </c>
      <c r="AN376" s="33" t="e">
        <f t="shared" ca="1" si="39"/>
        <v>#REF!</v>
      </c>
      <c r="AO376" s="174" t="e">
        <f t="shared" ca="1" si="40"/>
        <v>#REF!</v>
      </c>
      <c r="AP376" s="174" t="e">
        <f t="shared" ca="1" si="41"/>
        <v>#REF!</v>
      </c>
    </row>
    <row r="377" spans="1:42">
      <c r="A377" s="33" t="str">
        <f t="shared" si="35"/>
        <v/>
      </c>
      <c r="I377" s="33"/>
      <c r="J377" s="173" t="str" cm="1">
        <f t="array" aca="1" ref="J377" ca="1">IFERROR(_xlfn.IFS(OR(AL377&lt;&gt;"",AP377&lt;&gt;""),"STCOアサイン済",OR(AN377&lt;&gt;"",AO377&lt;&gt;""),"CHAT中"),"")</f>
        <v/>
      </c>
      <c r="K377" s="33"/>
      <c r="L377" s="33"/>
      <c r="M377" s="33"/>
      <c r="N377" s="33"/>
      <c r="O377" s="33"/>
      <c r="AK377" s="33">
        <f t="shared" si="36"/>
        <v>0</v>
      </c>
      <c r="AL377" s="33" t="e">
        <f t="shared" ca="1" si="37"/>
        <v>#REF!</v>
      </c>
      <c r="AM377" s="33" t="str">
        <f t="shared" si="38"/>
        <v/>
      </c>
      <c r="AN377" s="33" t="e">
        <f t="shared" ca="1" si="39"/>
        <v>#REF!</v>
      </c>
      <c r="AO377" s="174" t="e">
        <f t="shared" ca="1" si="40"/>
        <v>#REF!</v>
      </c>
      <c r="AP377" s="174" t="e">
        <f t="shared" ca="1" si="41"/>
        <v>#REF!</v>
      </c>
    </row>
    <row r="378" spans="1:42">
      <c r="A378" s="33" t="str">
        <f t="shared" si="35"/>
        <v/>
      </c>
      <c r="I378" s="33"/>
      <c r="J378" s="173" t="str" cm="1">
        <f t="array" aca="1" ref="J378" ca="1">IFERROR(_xlfn.IFS(OR(AL378&lt;&gt;"",AP378&lt;&gt;""),"STCOアサイン済",OR(AN378&lt;&gt;"",AO378&lt;&gt;""),"CHAT中"),"")</f>
        <v/>
      </c>
      <c r="K378" s="33"/>
      <c r="L378" s="33"/>
      <c r="M378" s="33"/>
      <c r="N378" s="33"/>
      <c r="O378" s="33"/>
      <c r="AK378" s="33">
        <f t="shared" si="36"/>
        <v>0</v>
      </c>
      <c r="AL378" s="33" t="e">
        <f t="shared" ca="1" si="37"/>
        <v>#REF!</v>
      </c>
      <c r="AM378" s="33" t="str">
        <f t="shared" si="38"/>
        <v/>
      </c>
      <c r="AN378" s="33" t="e">
        <f t="shared" ca="1" si="39"/>
        <v>#REF!</v>
      </c>
      <c r="AO378" s="174" t="e">
        <f t="shared" ca="1" si="40"/>
        <v>#REF!</v>
      </c>
      <c r="AP378" s="174" t="e">
        <f t="shared" ca="1" si="41"/>
        <v>#REF!</v>
      </c>
    </row>
    <row r="379" spans="1:42">
      <c r="A379" s="33" t="str">
        <f t="shared" si="35"/>
        <v/>
      </c>
      <c r="I379" s="33"/>
      <c r="J379" s="173" t="str" cm="1">
        <f t="array" aca="1" ref="J379" ca="1">IFERROR(_xlfn.IFS(OR(AL379&lt;&gt;"",AP379&lt;&gt;""),"STCOアサイン済",OR(AN379&lt;&gt;"",AO379&lt;&gt;""),"CHAT中"),"")</f>
        <v/>
      </c>
      <c r="K379" s="33"/>
      <c r="L379" s="33"/>
      <c r="M379" s="33"/>
      <c r="N379" s="33"/>
      <c r="O379" s="33"/>
      <c r="AK379" s="33">
        <f t="shared" si="36"/>
        <v>0</v>
      </c>
      <c r="AL379" s="33" t="e">
        <f t="shared" ca="1" si="37"/>
        <v>#REF!</v>
      </c>
      <c r="AM379" s="33" t="str">
        <f t="shared" si="38"/>
        <v/>
      </c>
      <c r="AN379" s="33" t="e">
        <f t="shared" ca="1" si="39"/>
        <v>#REF!</v>
      </c>
      <c r="AO379" s="174" t="e">
        <f t="shared" ca="1" si="40"/>
        <v>#REF!</v>
      </c>
      <c r="AP379" s="174" t="e">
        <f t="shared" ca="1" si="41"/>
        <v>#REF!</v>
      </c>
    </row>
    <row r="380" spans="1:42">
      <c r="A380" s="33" t="str">
        <f t="shared" si="35"/>
        <v/>
      </c>
      <c r="I380" s="33"/>
      <c r="J380" s="173" t="str" cm="1">
        <f t="array" aca="1" ref="J380" ca="1">IFERROR(_xlfn.IFS(OR(AL380&lt;&gt;"",AP380&lt;&gt;""),"STCOアサイン済",OR(AN380&lt;&gt;"",AO380&lt;&gt;""),"CHAT中"),"")</f>
        <v/>
      </c>
      <c r="K380" s="33"/>
      <c r="L380" s="33"/>
      <c r="M380" s="33"/>
      <c r="N380" s="33"/>
      <c r="O380" s="33"/>
      <c r="AK380" s="33">
        <f t="shared" si="36"/>
        <v>0</v>
      </c>
      <c r="AL380" s="33" t="e">
        <f t="shared" ca="1" si="37"/>
        <v>#REF!</v>
      </c>
      <c r="AM380" s="33" t="str">
        <f t="shared" si="38"/>
        <v/>
      </c>
      <c r="AN380" s="33" t="e">
        <f t="shared" ca="1" si="39"/>
        <v>#REF!</v>
      </c>
      <c r="AO380" s="174" t="e">
        <f t="shared" ca="1" si="40"/>
        <v>#REF!</v>
      </c>
      <c r="AP380" s="174" t="e">
        <f t="shared" ca="1" si="41"/>
        <v>#REF!</v>
      </c>
    </row>
    <row r="381" spans="1:42">
      <c r="A381" s="33" t="str">
        <f t="shared" si="35"/>
        <v/>
      </c>
      <c r="I381" s="33"/>
      <c r="J381" s="173" t="str" cm="1">
        <f t="array" aca="1" ref="J381" ca="1">IFERROR(_xlfn.IFS(OR(AL381&lt;&gt;"",AP381&lt;&gt;""),"STCOアサイン済",OR(AN381&lt;&gt;"",AO381&lt;&gt;""),"CHAT中"),"")</f>
        <v/>
      </c>
      <c r="K381" s="33"/>
      <c r="L381" s="33"/>
      <c r="M381" s="33"/>
      <c r="N381" s="33"/>
      <c r="O381" s="33"/>
      <c r="AK381" s="33">
        <f t="shared" si="36"/>
        <v>0</v>
      </c>
      <c r="AL381" s="33" t="e">
        <f t="shared" ca="1" si="37"/>
        <v>#REF!</v>
      </c>
      <c r="AM381" s="33" t="str">
        <f t="shared" si="38"/>
        <v/>
      </c>
      <c r="AN381" s="33" t="e">
        <f t="shared" ca="1" si="39"/>
        <v>#REF!</v>
      </c>
      <c r="AO381" s="174" t="e">
        <f t="shared" ca="1" si="40"/>
        <v>#REF!</v>
      </c>
      <c r="AP381" s="174" t="e">
        <f t="shared" ca="1" si="41"/>
        <v>#REF!</v>
      </c>
    </row>
    <row r="382" spans="1:42">
      <c r="A382" s="33" t="str">
        <f t="shared" si="35"/>
        <v/>
      </c>
      <c r="I382" s="33"/>
      <c r="J382" s="173" t="str" cm="1">
        <f t="array" aca="1" ref="J382" ca="1">IFERROR(_xlfn.IFS(OR(AL382&lt;&gt;"",AP382&lt;&gt;""),"STCOアサイン済",OR(AN382&lt;&gt;"",AO382&lt;&gt;""),"CHAT中"),"")</f>
        <v/>
      </c>
      <c r="K382" s="33"/>
      <c r="L382" s="33"/>
      <c r="M382" s="33"/>
      <c r="N382" s="33"/>
      <c r="O382" s="33"/>
      <c r="AK382" s="33">
        <f t="shared" si="36"/>
        <v>0</v>
      </c>
      <c r="AL382" s="33" t="e">
        <f t="shared" ca="1" si="37"/>
        <v>#REF!</v>
      </c>
      <c r="AM382" s="33" t="str">
        <f t="shared" si="38"/>
        <v/>
      </c>
      <c r="AN382" s="33" t="e">
        <f t="shared" ca="1" si="39"/>
        <v>#REF!</v>
      </c>
      <c r="AO382" s="174" t="e">
        <f t="shared" ca="1" si="40"/>
        <v>#REF!</v>
      </c>
      <c r="AP382" s="174" t="e">
        <f t="shared" ca="1" si="41"/>
        <v>#REF!</v>
      </c>
    </row>
    <row r="383" spans="1:42">
      <c r="A383" s="33" t="str">
        <f t="shared" si="35"/>
        <v/>
      </c>
      <c r="I383" s="33"/>
      <c r="J383" s="173" t="str" cm="1">
        <f t="array" aca="1" ref="J383" ca="1">IFERROR(_xlfn.IFS(OR(AL383&lt;&gt;"",AP383&lt;&gt;""),"STCOアサイン済",OR(AN383&lt;&gt;"",AO383&lt;&gt;""),"CHAT中"),"")</f>
        <v/>
      </c>
      <c r="K383" s="33"/>
      <c r="L383" s="33"/>
      <c r="M383" s="33"/>
      <c r="N383" s="33"/>
      <c r="O383" s="33"/>
      <c r="AK383" s="33">
        <f t="shared" si="36"/>
        <v>0</v>
      </c>
      <c r="AL383" s="33" t="e">
        <f t="shared" ca="1" si="37"/>
        <v>#REF!</v>
      </c>
      <c r="AM383" s="33" t="str">
        <f t="shared" si="38"/>
        <v/>
      </c>
      <c r="AN383" s="33" t="e">
        <f t="shared" ca="1" si="39"/>
        <v>#REF!</v>
      </c>
      <c r="AO383" s="174" t="e">
        <f t="shared" ca="1" si="40"/>
        <v>#REF!</v>
      </c>
      <c r="AP383" s="174" t="e">
        <f t="shared" ca="1" si="41"/>
        <v>#REF!</v>
      </c>
    </row>
    <row r="384" spans="1:42">
      <c r="A384" s="33" t="str">
        <f t="shared" si="35"/>
        <v/>
      </c>
      <c r="I384" s="33"/>
      <c r="J384" s="173" t="str" cm="1">
        <f t="array" aca="1" ref="J384" ca="1">IFERROR(_xlfn.IFS(OR(AL384&lt;&gt;"",AP384&lt;&gt;""),"STCOアサイン済",OR(AN384&lt;&gt;"",AO384&lt;&gt;""),"CHAT中"),"")</f>
        <v/>
      </c>
      <c r="K384" s="33"/>
      <c r="L384" s="33"/>
      <c r="M384" s="33"/>
      <c r="N384" s="33"/>
      <c r="O384" s="33"/>
      <c r="AK384" s="33">
        <f t="shared" si="36"/>
        <v>0</v>
      </c>
      <c r="AL384" s="33" t="e">
        <f t="shared" ca="1" si="37"/>
        <v>#REF!</v>
      </c>
      <c r="AM384" s="33" t="str">
        <f t="shared" si="38"/>
        <v/>
      </c>
      <c r="AN384" s="33" t="e">
        <f t="shared" ca="1" si="39"/>
        <v>#REF!</v>
      </c>
      <c r="AO384" s="174" t="e">
        <f t="shared" ca="1" si="40"/>
        <v>#REF!</v>
      </c>
      <c r="AP384" s="174" t="e">
        <f t="shared" ca="1" si="41"/>
        <v>#REF!</v>
      </c>
    </row>
    <row r="385" spans="1:42">
      <c r="A385" s="33" t="str">
        <f t="shared" si="35"/>
        <v/>
      </c>
      <c r="I385" s="33"/>
      <c r="J385" s="173" t="str" cm="1">
        <f t="array" aca="1" ref="J385" ca="1">IFERROR(_xlfn.IFS(OR(AL385&lt;&gt;"",AP385&lt;&gt;""),"STCOアサイン済",OR(AN385&lt;&gt;"",AO385&lt;&gt;""),"CHAT中"),"")</f>
        <v/>
      </c>
      <c r="K385" s="33"/>
      <c r="L385" s="33"/>
      <c r="M385" s="33"/>
      <c r="N385" s="33"/>
      <c r="O385" s="33"/>
      <c r="AK385" s="33">
        <f t="shared" si="36"/>
        <v>0</v>
      </c>
      <c r="AL385" s="33" t="e">
        <f t="shared" ca="1" si="37"/>
        <v>#REF!</v>
      </c>
      <c r="AM385" s="33" t="str">
        <f t="shared" si="38"/>
        <v/>
      </c>
      <c r="AN385" s="33" t="e">
        <f t="shared" ca="1" si="39"/>
        <v>#REF!</v>
      </c>
      <c r="AO385" s="174" t="e">
        <f t="shared" ca="1" si="40"/>
        <v>#REF!</v>
      </c>
      <c r="AP385" s="174" t="e">
        <f t="shared" ca="1" si="41"/>
        <v>#REF!</v>
      </c>
    </row>
    <row r="386" spans="1:42">
      <c r="A386" s="33" t="str">
        <f t="shared" si="35"/>
        <v/>
      </c>
      <c r="I386" s="33"/>
      <c r="J386" s="173" t="str" cm="1">
        <f t="array" aca="1" ref="J386" ca="1">IFERROR(_xlfn.IFS(OR(AL386&lt;&gt;"",AP386&lt;&gt;""),"STCOアサイン済",OR(AN386&lt;&gt;"",AO386&lt;&gt;""),"CHAT中"),"")</f>
        <v/>
      </c>
      <c r="K386" s="33"/>
      <c r="L386" s="33"/>
      <c r="M386" s="33"/>
      <c r="N386" s="33"/>
      <c r="O386" s="33"/>
      <c r="AK386" s="33">
        <f t="shared" si="36"/>
        <v>0</v>
      </c>
      <c r="AL386" s="33" t="e">
        <f t="shared" ca="1" si="37"/>
        <v>#REF!</v>
      </c>
      <c r="AM386" s="33" t="str">
        <f t="shared" si="38"/>
        <v/>
      </c>
      <c r="AN386" s="33" t="e">
        <f t="shared" ca="1" si="39"/>
        <v>#REF!</v>
      </c>
      <c r="AO386" s="174" t="e">
        <f t="shared" ca="1" si="40"/>
        <v>#REF!</v>
      </c>
      <c r="AP386" s="174" t="e">
        <f t="shared" ca="1" si="41"/>
        <v>#REF!</v>
      </c>
    </row>
    <row r="387" spans="1:42">
      <c r="A387" s="33" t="str">
        <f t="shared" si="35"/>
        <v/>
      </c>
      <c r="I387" s="33"/>
      <c r="J387" s="173" t="str" cm="1">
        <f t="array" aca="1" ref="J387" ca="1">IFERROR(_xlfn.IFS(OR(AL387&lt;&gt;"",AP387&lt;&gt;""),"STCOアサイン済",OR(AN387&lt;&gt;"",AO387&lt;&gt;""),"CHAT中"),"")</f>
        <v/>
      </c>
      <c r="K387" s="33"/>
      <c r="L387" s="33"/>
      <c r="M387" s="33"/>
      <c r="N387" s="33"/>
      <c r="O387" s="33"/>
      <c r="AK387" s="33">
        <f t="shared" si="36"/>
        <v>0</v>
      </c>
      <c r="AL387" s="33" t="e">
        <f t="shared" ca="1" si="37"/>
        <v>#REF!</v>
      </c>
      <c r="AM387" s="33" t="str">
        <f t="shared" si="38"/>
        <v/>
      </c>
      <c r="AN387" s="33" t="e">
        <f t="shared" ca="1" si="39"/>
        <v>#REF!</v>
      </c>
      <c r="AO387" s="174" t="e">
        <f t="shared" ca="1" si="40"/>
        <v>#REF!</v>
      </c>
      <c r="AP387" s="174" t="e">
        <f t="shared" ca="1" si="41"/>
        <v>#REF!</v>
      </c>
    </row>
    <row r="388" spans="1:42">
      <c r="A388" s="33" t="str">
        <f t="shared" si="35"/>
        <v/>
      </c>
      <c r="I388" s="33"/>
      <c r="J388" s="173" t="str" cm="1">
        <f t="array" aca="1" ref="J388" ca="1">IFERROR(_xlfn.IFS(OR(AL388&lt;&gt;"",AP388&lt;&gt;""),"STCOアサイン済",OR(AN388&lt;&gt;"",AO388&lt;&gt;""),"CHAT中"),"")</f>
        <v/>
      </c>
      <c r="K388" s="33"/>
      <c r="L388" s="33"/>
      <c r="M388" s="33"/>
      <c r="N388" s="33"/>
      <c r="O388" s="33"/>
      <c r="AK388" s="33">
        <f t="shared" si="36"/>
        <v>0</v>
      </c>
      <c r="AL388" s="33" t="e">
        <f t="shared" ca="1" si="37"/>
        <v>#REF!</v>
      </c>
      <c r="AM388" s="33" t="str">
        <f t="shared" si="38"/>
        <v/>
      </c>
      <c r="AN388" s="33" t="e">
        <f t="shared" ca="1" si="39"/>
        <v>#REF!</v>
      </c>
      <c r="AO388" s="174" t="e">
        <f t="shared" ca="1" si="40"/>
        <v>#REF!</v>
      </c>
      <c r="AP388" s="174" t="e">
        <f t="shared" ca="1" si="41"/>
        <v>#REF!</v>
      </c>
    </row>
    <row r="389" spans="1:42">
      <c r="A389" s="33" t="str">
        <f t="shared" si="35"/>
        <v/>
      </c>
      <c r="I389" s="33"/>
      <c r="J389" s="173" t="str" cm="1">
        <f t="array" aca="1" ref="J389" ca="1">IFERROR(_xlfn.IFS(OR(AL389&lt;&gt;"",AP389&lt;&gt;""),"STCOアサイン済",OR(AN389&lt;&gt;"",AO389&lt;&gt;""),"CHAT中"),"")</f>
        <v/>
      </c>
      <c r="K389" s="33"/>
      <c r="L389" s="33"/>
      <c r="M389" s="33"/>
      <c r="N389" s="33"/>
      <c r="O389" s="33"/>
      <c r="AK389" s="33">
        <f t="shared" si="36"/>
        <v>0</v>
      </c>
      <c r="AL389" s="33" t="e">
        <f t="shared" ca="1" si="37"/>
        <v>#REF!</v>
      </c>
      <c r="AM389" s="33" t="str">
        <f t="shared" si="38"/>
        <v/>
      </c>
      <c r="AN389" s="33" t="e">
        <f t="shared" ca="1" si="39"/>
        <v>#REF!</v>
      </c>
      <c r="AO389" s="174" t="e">
        <f t="shared" ca="1" si="40"/>
        <v>#REF!</v>
      </c>
      <c r="AP389" s="174" t="e">
        <f t="shared" ca="1" si="41"/>
        <v>#REF!</v>
      </c>
    </row>
    <row r="390" spans="1:42">
      <c r="A390" s="33" t="str">
        <f t="shared" si="35"/>
        <v/>
      </c>
      <c r="I390" s="33"/>
      <c r="J390" s="173" t="str" cm="1">
        <f t="array" aca="1" ref="J390" ca="1">IFERROR(_xlfn.IFS(OR(AL390&lt;&gt;"",AP390&lt;&gt;""),"STCOアサイン済",OR(AN390&lt;&gt;"",AO390&lt;&gt;""),"CHAT中"),"")</f>
        <v/>
      </c>
      <c r="K390" s="33"/>
      <c r="L390" s="33"/>
      <c r="M390" s="33"/>
      <c r="N390" s="33"/>
      <c r="O390" s="33"/>
      <c r="AK390" s="33">
        <f t="shared" si="36"/>
        <v>0</v>
      </c>
      <c r="AL390" s="33" t="e">
        <f t="shared" ca="1" si="37"/>
        <v>#REF!</v>
      </c>
      <c r="AM390" s="33" t="str">
        <f t="shared" si="38"/>
        <v/>
      </c>
      <c r="AN390" s="33" t="e">
        <f t="shared" ca="1" si="39"/>
        <v>#REF!</v>
      </c>
      <c r="AO390" s="174" t="e">
        <f t="shared" ca="1" si="40"/>
        <v>#REF!</v>
      </c>
      <c r="AP390" s="174" t="e">
        <f t="shared" ca="1" si="41"/>
        <v>#REF!</v>
      </c>
    </row>
    <row r="391" spans="1:42">
      <c r="A391" s="33" t="str">
        <f t="shared" si="35"/>
        <v/>
      </c>
      <c r="I391" s="33"/>
      <c r="J391" s="173" t="str" cm="1">
        <f t="array" aca="1" ref="J391" ca="1">IFERROR(_xlfn.IFS(OR(AL391&lt;&gt;"",AP391&lt;&gt;""),"STCOアサイン済",OR(AN391&lt;&gt;"",AO391&lt;&gt;""),"CHAT中"),"")</f>
        <v/>
      </c>
      <c r="K391" s="33"/>
      <c r="L391" s="33"/>
      <c r="M391" s="33"/>
      <c r="N391" s="33"/>
      <c r="O391" s="33"/>
      <c r="AK391" s="33">
        <f t="shared" si="36"/>
        <v>0</v>
      </c>
      <c r="AL391" s="33" t="e">
        <f t="shared" ca="1" si="37"/>
        <v>#REF!</v>
      </c>
      <c r="AM391" s="33" t="str">
        <f t="shared" si="38"/>
        <v/>
      </c>
      <c r="AN391" s="33" t="e">
        <f t="shared" ca="1" si="39"/>
        <v>#REF!</v>
      </c>
      <c r="AO391" s="174" t="e">
        <f t="shared" ca="1" si="40"/>
        <v>#REF!</v>
      </c>
      <c r="AP391" s="174" t="e">
        <f t="shared" ca="1" si="41"/>
        <v>#REF!</v>
      </c>
    </row>
    <row r="392" spans="1:42">
      <c r="A392" s="33" t="str">
        <f t="shared" ref="A392:A400" si="42">IF(ISBLANK($I392), "", _xlfn.IFS($I392&gt;10, "DS", $I392&lt;=10, "未定"))</f>
        <v/>
      </c>
      <c r="I392" s="33"/>
      <c r="J392" s="173" t="str" cm="1">
        <f t="array" aca="1" ref="J392" ca="1">IFERROR(_xlfn.IFS(OR(AL392&lt;&gt;"",AP392&lt;&gt;""),"STCOアサイン済",OR(AN392&lt;&gt;"",AO392&lt;&gt;""),"CHAT中"),"")</f>
        <v/>
      </c>
      <c r="K392" s="33"/>
      <c r="L392" s="33"/>
      <c r="M392" s="33"/>
      <c r="N392" s="33"/>
      <c r="O392" s="33"/>
      <c r="AK392" s="33">
        <f t="shared" si="36"/>
        <v>0</v>
      </c>
      <c r="AL392" s="33" t="e">
        <f t="shared" ca="1" si="37"/>
        <v>#REF!</v>
      </c>
      <c r="AM392" s="33" t="str">
        <f t="shared" si="38"/>
        <v/>
      </c>
      <c r="AN392" s="33" t="e">
        <f t="shared" ca="1" si="39"/>
        <v>#REF!</v>
      </c>
      <c r="AO392" s="174" t="e">
        <f t="shared" ca="1" si="40"/>
        <v>#REF!</v>
      </c>
      <c r="AP392" s="174" t="e">
        <f t="shared" ca="1" si="41"/>
        <v>#REF!</v>
      </c>
    </row>
    <row r="393" spans="1:42">
      <c r="A393" s="33" t="str">
        <f t="shared" si="42"/>
        <v/>
      </c>
      <c r="I393" s="33"/>
      <c r="J393" s="173" t="str" cm="1">
        <f t="array" aca="1" ref="J393" ca="1">IFERROR(_xlfn.IFS(OR(AL393&lt;&gt;"",AP393&lt;&gt;""),"STCOアサイン済",OR(AN393&lt;&gt;"",AO393&lt;&gt;""),"CHAT中"),"")</f>
        <v/>
      </c>
      <c r="K393" s="33"/>
      <c r="L393" s="33"/>
      <c r="M393" s="33"/>
      <c r="N393" s="33"/>
      <c r="O393" s="33"/>
      <c r="AK393" s="33">
        <f t="shared" ref="AK393:AK456" si="43">C393</f>
        <v>0</v>
      </c>
      <c r="AL393" s="33" t="e">
        <f t="shared" ref="AL393:AL456" ca="1" si="44">IF(SUMIF(INDIRECT($AL$7&amp;"!$AM$5:$AM$800"),C393&amp;$AL$6,INDIRECT($AL$7&amp;"!$AN$5:$AN$800"))&lt;=0,"")</f>
        <v>#REF!</v>
      </c>
      <c r="AM393" s="33" t="str">
        <f t="shared" ref="AM393:AM456" si="45">IF(A393="","",A393)</f>
        <v/>
      </c>
      <c r="AN393" s="33" t="e">
        <f t="shared" ref="AN393:AN456" ca="1" si="46">IF(SUMIF(INDIRECT($AL$7&amp;"!$AM$5:$AM$800"),C393&amp;$AL$6,INDIRECT($AL$7&amp;"!$AO$5:$AO$800"))=0,"")</f>
        <v>#REF!</v>
      </c>
      <c r="AO393" s="174" t="e">
        <f t="shared" ref="AO393:AO456" ca="1" si="47">IF(SUMIF(INDIRECT($AL$7&amp;"!$AR$5:$AR$800"),C393&amp;$AL$6,INDIRECT($AL$7&amp;"!$AO$5:$AO$800"))=0,"")</f>
        <v>#REF!</v>
      </c>
      <c r="AP393" s="174" t="e">
        <f t="shared" ref="AP393:AP456" ca="1" si="48">IF(SUMIF(INDIRECT($AL$7&amp;"!$AR$5:$AR$800"),C393&amp;$AL$6,INDIRECT($AL$7&amp;"!$AN$5:$AN$800"))&lt;=0,"")</f>
        <v>#REF!</v>
      </c>
    </row>
    <row r="394" spans="1:42">
      <c r="A394" s="33" t="str">
        <f t="shared" si="42"/>
        <v/>
      </c>
      <c r="I394" s="33"/>
      <c r="J394" s="173" t="str" cm="1">
        <f t="array" aca="1" ref="J394" ca="1">IFERROR(_xlfn.IFS(OR(AL394&lt;&gt;"",AP394&lt;&gt;""),"STCOアサイン済",OR(AN394&lt;&gt;"",AO394&lt;&gt;""),"CHAT中"),"")</f>
        <v/>
      </c>
      <c r="K394" s="33"/>
      <c r="L394" s="33"/>
      <c r="M394" s="33"/>
      <c r="N394" s="33"/>
      <c r="O394" s="33"/>
      <c r="AK394" s="33">
        <f t="shared" si="43"/>
        <v>0</v>
      </c>
      <c r="AL394" s="33" t="e">
        <f t="shared" ca="1" si="44"/>
        <v>#REF!</v>
      </c>
      <c r="AM394" s="33" t="str">
        <f t="shared" si="45"/>
        <v/>
      </c>
      <c r="AN394" s="33" t="e">
        <f t="shared" ca="1" si="46"/>
        <v>#REF!</v>
      </c>
      <c r="AO394" s="174" t="e">
        <f t="shared" ca="1" si="47"/>
        <v>#REF!</v>
      </c>
      <c r="AP394" s="174" t="e">
        <f t="shared" ca="1" si="48"/>
        <v>#REF!</v>
      </c>
    </row>
    <row r="395" spans="1:42">
      <c r="A395" s="33" t="str">
        <f t="shared" si="42"/>
        <v/>
      </c>
      <c r="I395" s="33"/>
      <c r="J395" s="173" t="str" cm="1">
        <f t="array" aca="1" ref="J395" ca="1">IFERROR(_xlfn.IFS(OR(AL395&lt;&gt;"",AP395&lt;&gt;""),"STCOアサイン済",OR(AN395&lt;&gt;"",AO395&lt;&gt;""),"CHAT中"),"")</f>
        <v/>
      </c>
      <c r="K395" s="33"/>
      <c r="L395" s="33"/>
      <c r="M395" s="33"/>
      <c r="N395" s="33"/>
      <c r="O395" s="33"/>
      <c r="AK395" s="33">
        <f t="shared" si="43"/>
        <v>0</v>
      </c>
      <c r="AL395" s="33" t="e">
        <f t="shared" ca="1" si="44"/>
        <v>#REF!</v>
      </c>
      <c r="AM395" s="33" t="str">
        <f t="shared" si="45"/>
        <v/>
      </c>
      <c r="AN395" s="33" t="e">
        <f t="shared" ca="1" si="46"/>
        <v>#REF!</v>
      </c>
      <c r="AO395" s="174" t="e">
        <f t="shared" ca="1" si="47"/>
        <v>#REF!</v>
      </c>
      <c r="AP395" s="174" t="e">
        <f t="shared" ca="1" si="48"/>
        <v>#REF!</v>
      </c>
    </row>
    <row r="396" spans="1:42">
      <c r="A396" s="33" t="str">
        <f t="shared" si="42"/>
        <v/>
      </c>
      <c r="I396" s="33"/>
      <c r="J396" s="173" t="str" cm="1">
        <f t="array" aca="1" ref="J396" ca="1">IFERROR(_xlfn.IFS(OR(AL396&lt;&gt;"",AP396&lt;&gt;""),"STCOアサイン済",OR(AN396&lt;&gt;"",AO396&lt;&gt;""),"CHAT中"),"")</f>
        <v/>
      </c>
      <c r="K396" s="33"/>
      <c r="L396" s="33"/>
      <c r="M396" s="33"/>
      <c r="N396" s="33"/>
      <c r="O396" s="33"/>
      <c r="AK396" s="33">
        <f t="shared" si="43"/>
        <v>0</v>
      </c>
      <c r="AL396" s="33" t="e">
        <f t="shared" ca="1" si="44"/>
        <v>#REF!</v>
      </c>
      <c r="AM396" s="33" t="str">
        <f t="shared" si="45"/>
        <v/>
      </c>
      <c r="AN396" s="33" t="e">
        <f t="shared" ca="1" si="46"/>
        <v>#REF!</v>
      </c>
      <c r="AO396" s="174" t="e">
        <f t="shared" ca="1" si="47"/>
        <v>#REF!</v>
      </c>
      <c r="AP396" s="174" t="e">
        <f t="shared" ca="1" si="48"/>
        <v>#REF!</v>
      </c>
    </row>
    <row r="397" spans="1:42">
      <c r="A397" s="33" t="str">
        <f t="shared" si="42"/>
        <v/>
      </c>
      <c r="I397" s="33"/>
      <c r="J397" s="173" t="str" cm="1">
        <f t="array" aca="1" ref="J397" ca="1">IFERROR(_xlfn.IFS(OR(AL397&lt;&gt;"",AP397&lt;&gt;""),"STCOアサイン済",OR(AN397&lt;&gt;"",AO397&lt;&gt;""),"CHAT中"),"")</f>
        <v/>
      </c>
      <c r="K397" s="33"/>
      <c r="L397" s="33"/>
      <c r="M397" s="33"/>
      <c r="N397" s="33"/>
      <c r="O397" s="33"/>
      <c r="AK397" s="33">
        <f t="shared" si="43"/>
        <v>0</v>
      </c>
      <c r="AL397" s="33" t="e">
        <f t="shared" ca="1" si="44"/>
        <v>#REF!</v>
      </c>
      <c r="AM397" s="33" t="str">
        <f t="shared" si="45"/>
        <v/>
      </c>
      <c r="AN397" s="33" t="e">
        <f t="shared" ca="1" si="46"/>
        <v>#REF!</v>
      </c>
      <c r="AO397" s="174" t="e">
        <f t="shared" ca="1" si="47"/>
        <v>#REF!</v>
      </c>
      <c r="AP397" s="174" t="e">
        <f t="shared" ca="1" si="48"/>
        <v>#REF!</v>
      </c>
    </row>
    <row r="398" spans="1:42">
      <c r="A398" s="33" t="str">
        <f t="shared" si="42"/>
        <v/>
      </c>
      <c r="I398" s="33"/>
      <c r="J398" s="173" t="str" cm="1">
        <f t="array" aca="1" ref="J398" ca="1">IFERROR(_xlfn.IFS(OR(AL398&lt;&gt;"",AP398&lt;&gt;""),"STCOアサイン済",OR(AN398&lt;&gt;"",AO398&lt;&gt;""),"CHAT中"),"")</f>
        <v/>
      </c>
      <c r="K398" s="33"/>
      <c r="L398" s="33"/>
      <c r="M398" s="33"/>
      <c r="N398" s="33"/>
      <c r="O398" s="33"/>
      <c r="AK398" s="33">
        <f t="shared" si="43"/>
        <v>0</v>
      </c>
      <c r="AL398" s="33" t="e">
        <f t="shared" ca="1" si="44"/>
        <v>#REF!</v>
      </c>
      <c r="AM398" s="33" t="str">
        <f t="shared" si="45"/>
        <v/>
      </c>
      <c r="AN398" s="33" t="e">
        <f t="shared" ca="1" si="46"/>
        <v>#REF!</v>
      </c>
      <c r="AO398" s="174" t="e">
        <f t="shared" ca="1" si="47"/>
        <v>#REF!</v>
      </c>
      <c r="AP398" s="174" t="e">
        <f t="shared" ca="1" si="48"/>
        <v>#REF!</v>
      </c>
    </row>
    <row r="399" spans="1:42">
      <c r="A399" s="33" t="str">
        <f t="shared" si="42"/>
        <v/>
      </c>
      <c r="I399" s="33"/>
      <c r="J399" s="173" t="str" cm="1">
        <f t="array" aca="1" ref="J399" ca="1">IFERROR(_xlfn.IFS(OR(AL399&lt;&gt;"",AP399&lt;&gt;""),"STCOアサイン済",OR(AN399&lt;&gt;"",AO399&lt;&gt;""),"CHAT中"),"")</f>
        <v/>
      </c>
      <c r="K399" s="33"/>
      <c r="L399" s="33"/>
      <c r="M399" s="33"/>
      <c r="N399" s="33"/>
      <c r="O399" s="33"/>
      <c r="AK399" s="33">
        <f t="shared" si="43"/>
        <v>0</v>
      </c>
      <c r="AL399" s="33" t="e">
        <f t="shared" ca="1" si="44"/>
        <v>#REF!</v>
      </c>
      <c r="AM399" s="33" t="str">
        <f t="shared" si="45"/>
        <v/>
      </c>
      <c r="AN399" s="33" t="e">
        <f t="shared" ca="1" si="46"/>
        <v>#REF!</v>
      </c>
      <c r="AO399" s="174" t="e">
        <f t="shared" ca="1" si="47"/>
        <v>#REF!</v>
      </c>
      <c r="AP399" s="174" t="e">
        <f t="shared" ca="1" si="48"/>
        <v>#REF!</v>
      </c>
    </row>
    <row r="400" spans="1:42">
      <c r="A400" s="33" t="str">
        <f t="shared" si="42"/>
        <v/>
      </c>
      <c r="I400" s="33"/>
      <c r="J400" s="173" t="str" cm="1">
        <f t="array" aca="1" ref="J400" ca="1">IFERROR(_xlfn.IFS(OR(AL400&lt;&gt;"",AP400&lt;&gt;""),"STCOアサイン済",OR(AN400&lt;&gt;"",AO400&lt;&gt;""),"CHAT中"),"")</f>
        <v/>
      </c>
      <c r="K400" s="33"/>
      <c r="L400" s="33"/>
      <c r="M400" s="33"/>
      <c r="N400" s="33"/>
      <c r="O400" s="33"/>
      <c r="AK400" s="33">
        <f t="shared" si="43"/>
        <v>0</v>
      </c>
      <c r="AL400" s="33" t="e">
        <f t="shared" ca="1" si="44"/>
        <v>#REF!</v>
      </c>
      <c r="AM400" s="33" t="str">
        <f t="shared" si="45"/>
        <v/>
      </c>
      <c r="AN400" s="33" t="e">
        <f t="shared" ca="1" si="46"/>
        <v>#REF!</v>
      </c>
      <c r="AO400" s="174" t="e">
        <f t="shared" ca="1" si="47"/>
        <v>#REF!</v>
      </c>
      <c r="AP400" s="174" t="e">
        <f t="shared" ca="1" si="48"/>
        <v>#REF!</v>
      </c>
    </row>
    <row r="401" spans="1:42">
      <c r="A401" s="33" t="str">
        <f t="shared" ref="A401:A455" si="49">IF(ISBLANK($I401), "", _xlfn.IFS($I401&gt;10, "DS", $I401&lt;=10, "未定"))</f>
        <v/>
      </c>
      <c r="I401" s="33"/>
      <c r="J401" s="173" t="str" cm="1">
        <f t="array" aca="1" ref="J401" ca="1">IFERROR(_xlfn.IFS(OR(AL401&lt;&gt;"",AP401&lt;&gt;""),"STCOアサイン済",OR(AN401&lt;&gt;"",AO401&lt;&gt;""),"CHAT中"),"")</f>
        <v/>
      </c>
      <c r="K401" s="33"/>
      <c r="L401" s="33"/>
      <c r="M401" s="33"/>
      <c r="N401" s="33"/>
      <c r="O401" s="33"/>
      <c r="AK401" s="33">
        <f t="shared" si="43"/>
        <v>0</v>
      </c>
      <c r="AL401" s="33" t="e">
        <f t="shared" ca="1" si="44"/>
        <v>#REF!</v>
      </c>
      <c r="AM401" s="33" t="str">
        <f t="shared" si="45"/>
        <v/>
      </c>
      <c r="AN401" s="33" t="e">
        <f t="shared" ca="1" si="46"/>
        <v>#REF!</v>
      </c>
      <c r="AO401" s="174" t="e">
        <f t="shared" ca="1" si="47"/>
        <v>#REF!</v>
      </c>
      <c r="AP401" s="174" t="e">
        <f t="shared" ca="1" si="48"/>
        <v>#REF!</v>
      </c>
    </row>
    <row r="402" spans="1:42">
      <c r="A402" s="33" t="str">
        <f t="shared" si="49"/>
        <v/>
      </c>
      <c r="I402" s="33"/>
      <c r="J402" s="173" t="str" cm="1">
        <f t="array" aca="1" ref="J402" ca="1">IFERROR(_xlfn.IFS(OR(AL402&lt;&gt;"",AP402&lt;&gt;""),"STCOアサイン済",OR(AN402&lt;&gt;"",AO402&lt;&gt;""),"CHAT中"),"")</f>
        <v/>
      </c>
      <c r="K402" s="33"/>
      <c r="L402" s="33"/>
      <c r="M402" s="33"/>
      <c r="N402" s="33"/>
      <c r="O402" s="33"/>
      <c r="AK402" s="33">
        <f t="shared" si="43"/>
        <v>0</v>
      </c>
      <c r="AL402" s="33" t="e">
        <f t="shared" ca="1" si="44"/>
        <v>#REF!</v>
      </c>
      <c r="AM402" s="33" t="str">
        <f t="shared" si="45"/>
        <v/>
      </c>
      <c r="AN402" s="33" t="e">
        <f t="shared" ca="1" si="46"/>
        <v>#REF!</v>
      </c>
      <c r="AO402" s="174" t="e">
        <f t="shared" ca="1" si="47"/>
        <v>#REF!</v>
      </c>
      <c r="AP402" s="174" t="e">
        <f t="shared" ca="1" si="48"/>
        <v>#REF!</v>
      </c>
    </row>
    <row r="403" spans="1:42">
      <c r="A403" s="33" t="str">
        <f t="shared" si="49"/>
        <v/>
      </c>
      <c r="I403" s="33"/>
      <c r="J403" s="173" t="str" cm="1">
        <f t="array" aca="1" ref="J403" ca="1">IFERROR(_xlfn.IFS(OR(AL403&lt;&gt;"",AP403&lt;&gt;""),"STCOアサイン済",OR(AN403&lt;&gt;"",AO403&lt;&gt;""),"CHAT中"),"")</f>
        <v/>
      </c>
      <c r="K403" s="33"/>
      <c r="L403" s="33"/>
      <c r="M403" s="33"/>
      <c r="N403" s="33"/>
      <c r="O403" s="33"/>
      <c r="AK403" s="33">
        <f t="shared" si="43"/>
        <v>0</v>
      </c>
      <c r="AL403" s="33" t="e">
        <f t="shared" ca="1" si="44"/>
        <v>#REF!</v>
      </c>
      <c r="AM403" s="33" t="str">
        <f t="shared" si="45"/>
        <v/>
      </c>
      <c r="AN403" s="33" t="e">
        <f t="shared" ca="1" si="46"/>
        <v>#REF!</v>
      </c>
      <c r="AO403" s="174" t="e">
        <f t="shared" ca="1" si="47"/>
        <v>#REF!</v>
      </c>
      <c r="AP403" s="174" t="e">
        <f t="shared" ca="1" si="48"/>
        <v>#REF!</v>
      </c>
    </row>
    <row r="404" spans="1:42">
      <c r="A404" s="33" t="str">
        <f t="shared" si="49"/>
        <v/>
      </c>
      <c r="I404" s="33"/>
      <c r="J404" s="173" t="str" cm="1">
        <f t="array" aca="1" ref="J404" ca="1">IFERROR(_xlfn.IFS(OR(AL404&lt;&gt;"",AP404&lt;&gt;""),"STCOアサイン済",OR(AN404&lt;&gt;"",AO404&lt;&gt;""),"CHAT中"),"")</f>
        <v/>
      </c>
      <c r="K404" s="33"/>
      <c r="L404" s="33"/>
      <c r="M404" s="33"/>
      <c r="N404" s="33"/>
      <c r="O404" s="33"/>
      <c r="AK404" s="33">
        <f t="shared" si="43"/>
        <v>0</v>
      </c>
      <c r="AL404" s="33" t="e">
        <f t="shared" ca="1" si="44"/>
        <v>#REF!</v>
      </c>
      <c r="AM404" s="33" t="str">
        <f t="shared" si="45"/>
        <v/>
      </c>
      <c r="AN404" s="33" t="e">
        <f t="shared" ca="1" si="46"/>
        <v>#REF!</v>
      </c>
      <c r="AO404" s="174" t="e">
        <f t="shared" ca="1" si="47"/>
        <v>#REF!</v>
      </c>
      <c r="AP404" s="174" t="e">
        <f t="shared" ca="1" si="48"/>
        <v>#REF!</v>
      </c>
    </row>
    <row r="405" spans="1:42">
      <c r="A405" s="33" t="str">
        <f t="shared" si="49"/>
        <v/>
      </c>
      <c r="I405" s="33"/>
      <c r="J405" s="173" t="str" cm="1">
        <f t="array" aca="1" ref="J405" ca="1">IFERROR(_xlfn.IFS(OR(AL405&lt;&gt;"",AP405&lt;&gt;""),"STCOアサイン済",OR(AN405&lt;&gt;"",AO405&lt;&gt;""),"CHAT中"),"")</f>
        <v/>
      </c>
      <c r="K405" s="33"/>
      <c r="L405" s="33"/>
      <c r="M405" s="33"/>
      <c r="N405" s="33"/>
      <c r="O405" s="33"/>
      <c r="AK405" s="33">
        <f t="shared" si="43"/>
        <v>0</v>
      </c>
      <c r="AL405" s="33" t="e">
        <f t="shared" ca="1" si="44"/>
        <v>#REF!</v>
      </c>
      <c r="AM405" s="33" t="str">
        <f t="shared" si="45"/>
        <v/>
      </c>
      <c r="AN405" s="33" t="e">
        <f t="shared" ca="1" si="46"/>
        <v>#REF!</v>
      </c>
      <c r="AO405" s="174" t="e">
        <f t="shared" ca="1" si="47"/>
        <v>#REF!</v>
      </c>
      <c r="AP405" s="174" t="e">
        <f t="shared" ca="1" si="48"/>
        <v>#REF!</v>
      </c>
    </row>
    <row r="406" spans="1:42">
      <c r="A406" s="33" t="str">
        <f t="shared" si="49"/>
        <v/>
      </c>
      <c r="I406" s="33"/>
      <c r="J406" s="173" t="str" cm="1">
        <f t="array" aca="1" ref="J406" ca="1">IFERROR(_xlfn.IFS(OR(AL406&lt;&gt;"",AP406&lt;&gt;""),"STCOアサイン済",OR(AN406&lt;&gt;"",AO406&lt;&gt;""),"CHAT中"),"")</f>
        <v/>
      </c>
      <c r="K406" s="33"/>
      <c r="L406" s="33"/>
      <c r="M406" s="33"/>
      <c r="N406" s="33"/>
      <c r="O406" s="33"/>
      <c r="AK406" s="33">
        <f t="shared" si="43"/>
        <v>0</v>
      </c>
      <c r="AL406" s="33" t="e">
        <f t="shared" ca="1" si="44"/>
        <v>#REF!</v>
      </c>
      <c r="AM406" s="33" t="str">
        <f t="shared" si="45"/>
        <v/>
      </c>
      <c r="AN406" s="33" t="e">
        <f t="shared" ca="1" si="46"/>
        <v>#REF!</v>
      </c>
      <c r="AO406" s="174" t="e">
        <f t="shared" ca="1" si="47"/>
        <v>#REF!</v>
      </c>
      <c r="AP406" s="174" t="e">
        <f t="shared" ca="1" si="48"/>
        <v>#REF!</v>
      </c>
    </row>
    <row r="407" spans="1:42">
      <c r="A407" s="33" t="str">
        <f t="shared" si="49"/>
        <v/>
      </c>
      <c r="I407" s="33"/>
      <c r="J407" s="173" t="str" cm="1">
        <f t="array" aca="1" ref="J407" ca="1">IFERROR(_xlfn.IFS(OR(AL407&lt;&gt;"",AP407&lt;&gt;""),"STCOアサイン済",OR(AN407&lt;&gt;"",AO407&lt;&gt;""),"CHAT中"),"")</f>
        <v/>
      </c>
      <c r="K407" s="33"/>
      <c r="L407" s="33"/>
      <c r="M407" s="33"/>
      <c r="N407" s="33"/>
      <c r="O407" s="33"/>
      <c r="AK407" s="33">
        <f t="shared" si="43"/>
        <v>0</v>
      </c>
      <c r="AL407" s="33" t="e">
        <f t="shared" ca="1" si="44"/>
        <v>#REF!</v>
      </c>
      <c r="AM407" s="33" t="str">
        <f t="shared" si="45"/>
        <v/>
      </c>
      <c r="AN407" s="33" t="e">
        <f t="shared" ca="1" si="46"/>
        <v>#REF!</v>
      </c>
      <c r="AO407" s="174" t="e">
        <f t="shared" ca="1" si="47"/>
        <v>#REF!</v>
      </c>
      <c r="AP407" s="174" t="e">
        <f t="shared" ca="1" si="48"/>
        <v>#REF!</v>
      </c>
    </row>
    <row r="408" spans="1:42">
      <c r="A408" s="33" t="str">
        <f t="shared" si="49"/>
        <v/>
      </c>
      <c r="I408" s="33"/>
      <c r="J408" s="173" t="str" cm="1">
        <f t="array" aca="1" ref="J408" ca="1">IFERROR(_xlfn.IFS(OR(AL408&lt;&gt;"",AP408&lt;&gt;""),"STCOアサイン済",OR(AN408&lt;&gt;"",AO408&lt;&gt;""),"CHAT中"),"")</f>
        <v/>
      </c>
      <c r="K408" s="33"/>
      <c r="L408" s="33"/>
      <c r="M408" s="33"/>
      <c r="N408" s="33"/>
      <c r="O408" s="33"/>
      <c r="AK408" s="33">
        <f t="shared" si="43"/>
        <v>0</v>
      </c>
      <c r="AL408" s="33" t="e">
        <f t="shared" ca="1" si="44"/>
        <v>#REF!</v>
      </c>
      <c r="AM408" s="33" t="str">
        <f t="shared" si="45"/>
        <v/>
      </c>
      <c r="AN408" s="33" t="e">
        <f t="shared" ca="1" si="46"/>
        <v>#REF!</v>
      </c>
      <c r="AO408" s="174" t="e">
        <f t="shared" ca="1" si="47"/>
        <v>#REF!</v>
      </c>
      <c r="AP408" s="174" t="e">
        <f t="shared" ca="1" si="48"/>
        <v>#REF!</v>
      </c>
    </row>
    <row r="409" spans="1:42">
      <c r="A409" s="33" t="str">
        <f t="shared" si="49"/>
        <v/>
      </c>
      <c r="I409" s="33"/>
      <c r="J409" s="173" t="str" cm="1">
        <f t="array" aca="1" ref="J409" ca="1">IFERROR(_xlfn.IFS(OR(AL409&lt;&gt;"",AP409&lt;&gt;""),"STCOアサイン済",OR(AN409&lt;&gt;"",AO409&lt;&gt;""),"CHAT中"),"")</f>
        <v/>
      </c>
      <c r="K409" s="33"/>
      <c r="L409" s="33"/>
      <c r="M409" s="33"/>
      <c r="N409" s="33"/>
      <c r="O409" s="33"/>
      <c r="AK409" s="33">
        <f t="shared" si="43"/>
        <v>0</v>
      </c>
      <c r="AL409" s="33" t="e">
        <f t="shared" ca="1" si="44"/>
        <v>#REF!</v>
      </c>
      <c r="AM409" s="33" t="str">
        <f t="shared" si="45"/>
        <v/>
      </c>
      <c r="AN409" s="33" t="e">
        <f t="shared" ca="1" si="46"/>
        <v>#REF!</v>
      </c>
      <c r="AO409" s="174" t="e">
        <f t="shared" ca="1" si="47"/>
        <v>#REF!</v>
      </c>
      <c r="AP409" s="174" t="e">
        <f t="shared" ca="1" si="48"/>
        <v>#REF!</v>
      </c>
    </row>
    <row r="410" spans="1:42">
      <c r="A410" s="33" t="str">
        <f t="shared" si="49"/>
        <v/>
      </c>
      <c r="I410" s="33"/>
      <c r="J410" s="173" t="str" cm="1">
        <f t="array" aca="1" ref="J410" ca="1">IFERROR(_xlfn.IFS(OR(AL410&lt;&gt;"",AP410&lt;&gt;""),"STCOアサイン済",OR(AN410&lt;&gt;"",AO410&lt;&gt;""),"CHAT中"),"")</f>
        <v/>
      </c>
      <c r="K410" s="33"/>
      <c r="L410" s="33"/>
      <c r="M410" s="33"/>
      <c r="N410" s="33"/>
      <c r="O410" s="33"/>
      <c r="AK410" s="33">
        <f t="shared" si="43"/>
        <v>0</v>
      </c>
      <c r="AL410" s="33" t="e">
        <f t="shared" ca="1" si="44"/>
        <v>#REF!</v>
      </c>
      <c r="AM410" s="33" t="str">
        <f t="shared" si="45"/>
        <v/>
      </c>
      <c r="AN410" s="33" t="e">
        <f t="shared" ca="1" si="46"/>
        <v>#REF!</v>
      </c>
      <c r="AO410" s="174" t="e">
        <f t="shared" ca="1" si="47"/>
        <v>#REF!</v>
      </c>
      <c r="AP410" s="174" t="e">
        <f t="shared" ca="1" si="48"/>
        <v>#REF!</v>
      </c>
    </row>
    <row r="411" spans="1:42">
      <c r="A411" s="33" t="str">
        <f t="shared" si="49"/>
        <v/>
      </c>
      <c r="I411" s="33"/>
      <c r="J411" s="173" t="str" cm="1">
        <f t="array" aca="1" ref="J411" ca="1">IFERROR(_xlfn.IFS(OR(AL411&lt;&gt;"",AP411&lt;&gt;""),"STCOアサイン済",OR(AN411&lt;&gt;"",AO411&lt;&gt;""),"CHAT中"),"")</f>
        <v/>
      </c>
      <c r="K411" s="33"/>
      <c r="L411" s="33"/>
      <c r="M411" s="33"/>
      <c r="N411" s="33"/>
      <c r="O411" s="33"/>
      <c r="AK411" s="33">
        <f t="shared" si="43"/>
        <v>0</v>
      </c>
      <c r="AL411" s="33" t="e">
        <f t="shared" ca="1" si="44"/>
        <v>#REF!</v>
      </c>
      <c r="AM411" s="33" t="str">
        <f t="shared" si="45"/>
        <v/>
      </c>
      <c r="AN411" s="33" t="e">
        <f t="shared" ca="1" si="46"/>
        <v>#REF!</v>
      </c>
      <c r="AO411" s="174" t="e">
        <f t="shared" ca="1" si="47"/>
        <v>#REF!</v>
      </c>
      <c r="AP411" s="174" t="e">
        <f t="shared" ca="1" si="48"/>
        <v>#REF!</v>
      </c>
    </row>
    <row r="412" spans="1:42">
      <c r="A412" s="33" t="str">
        <f t="shared" si="49"/>
        <v/>
      </c>
      <c r="I412" s="33"/>
      <c r="J412" s="173" t="str" cm="1">
        <f t="array" aca="1" ref="J412" ca="1">IFERROR(_xlfn.IFS(OR(AL412&lt;&gt;"",AP412&lt;&gt;""),"STCOアサイン済",OR(AN412&lt;&gt;"",AO412&lt;&gt;""),"CHAT中"),"")</f>
        <v/>
      </c>
      <c r="K412" s="33"/>
      <c r="L412" s="33"/>
      <c r="M412" s="33"/>
      <c r="N412" s="33"/>
      <c r="O412" s="33"/>
      <c r="AK412" s="33">
        <f t="shared" si="43"/>
        <v>0</v>
      </c>
      <c r="AL412" s="33" t="e">
        <f t="shared" ca="1" si="44"/>
        <v>#REF!</v>
      </c>
      <c r="AM412" s="33" t="str">
        <f t="shared" si="45"/>
        <v/>
      </c>
      <c r="AN412" s="33" t="e">
        <f t="shared" ca="1" si="46"/>
        <v>#REF!</v>
      </c>
      <c r="AO412" s="174" t="e">
        <f t="shared" ca="1" si="47"/>
        <v>#REF!</v>
      </c>
      <c r="AP412" s="174" t="e">
        <f t="shared" ca="1" si="48"/>
        <v>#REF!</v>
      </c>
    </row>
    <row r="413" spans="1:42">
      <c r="A413" s="33" t="str">
        <f t="shared" si="49"/>
        <v/>
      </c>
      <c r="I413" s="33"/>
      <c r="J413" s="173" t="str" cm="1">
        <f t="array" aca="1" ref="J413" ca="1">IFERROR(_xlfn.IFS(OR(AL413&lt;&gt;"",AP413&lt;&gt;""),"STCOアサイン済",OR(AN413&lt;&gt;"",AO413&lt;&gt;""),"CHAT中"),"")</f>
        <v/>
      </c>
      <c r="K413" s="33"/>
      <c r="L413" s="33"/>
      <c r="M413" s="33"/>
      <c r="N413" s="33"/>
      <c r="O413" s="33"/>
      <c r="AK413" s="33">
        <f t="shared" si="43"/>
        <v>0</v>
      </c>
      <c r="AL413" s="33" t="e">
        <f t="shared" ca="1" si="44"/>
        <v>#REF!</v>
      </c>
      <c r="AM413" s="33" t="str">
        <f t="shared" si="45"/>
        <v/>
      </c>
      <c r="AN413" s="33" t="e">
        <f t="shared" ca="1" si="46"/>
        <v>#REF!</v>
      </c>
      <c r="AO413" s="174" t="e">
        <f t="shared" ca="1" si="47"/>
        <v>#REF!</v>
      </c>
      <c r="AP413" s="174" t="e">
        <f t="shared" ca="1" si="48"/>
        <v>#REF!</v>
      </c>
    </row>
    <row r="414" spans="1:42">
      <c r="A414" s="33" t="str">
        <f t="shared" si="49"/>
        <v/>
      </c>
      <c r="I414" s="33"/>
      <c r="J414" s="173" t="str" cm="1">
        <f t="array" aca="1" ref="J414" ca="1">IFERROR(_xlfn.IFS(OR(AL414&lt;&gt;"",AP414&lt;&gt;""),"STCOアサイン済",OR(AN414&lt;&gt;"",AO414&lt;&gt;""),"CHAT中"),"")</f>
        <v/>
      </c>
      <c r="K414" s="33"/>
      <c r="L414" s="33"/>
      <c r="M414" s="33"/>
      <c r="N414" s="33"/>
      <c r="O414" s="33"/>
      <c r="AK414" s="33">
        <f t="shared" si="43"/>
        <v>0</v>
      </c>
      <c r="AL414" s="33" t="e">
        <f t="shared" ca="1" si="44"/>
        <v>#REF!</v>
      </c>
      <c r="AM414" s="33" t="str">
        <f t="shared" si="45"/>
        <v/>
      </c>
      <c r="AN414" s="33" t="e">
        <f t="shared" ca="1" si="46"/>
        <v>#REF!</v>
      </c>
      <c r="AO414" s="174" t="e">
        <f t="shared" ca="1" si="47"/>
        <v>#REF!</v>
      </c>
      <c r="AP414" s="174" t="e">
        <f t="shared" ca="1" si="48"/>
        <v>#REF!</v>
      </c>
    </row>
    <row r="415" spans="1:42">
      <c r="A415" s="33" t="str">
        <f t="shared" si="49"/>
        <v/>
      </c>
      <c r="I415" s="33"/>
      <c r="J415" s="173" t="str" cm="1">
        <f t="array" aca="1" ref="J415" ca="1">IFERROR(_xlfn.IFS(OR(AL415&lt;&gt;"",AP415&lt;&gt;""),"STCOアサイン済",OR(AN415&lt;&gt;"",AO415&lt;&gt;""),"CHAT中"),"")</f>
        <v/>
      </c>
      <c r="K415" s="33"/>
      <c r="L415" s="33"/>
      <c r="M415" s="33"/>
      <c r="N415" s="33"/>
      <c r="O415" s="33"/>
      <c r="AK415" s="33">
        <f t="shared" si="43"/>
        <v>0</v>
      </c>
      <c r="AL415" s="33" t="e">
        <f t="shared" ca="1" si="44"/>
        <v>#REF!</v>
      </c>
      <c r="AM415" s="33" t="str">
        <f t="shared" si="45"/>
        <v/>
      </c>
      <c r="AN415" s="33" t="e">
        <f t="shared" ca="1" si="46"/>
        <v>#REF!</v>
      </c>
      <c r="AO415" s="174" t="e">
        <f t="shared" ca="1" si="47"/>
        <v>#REF!</v>
      </c>
      <c r="AP415" s="174" t="e">
        <f t="shared" ca="1" si="48"/>
        <v>#REF!</v>
      </c>
    </row>
    <row r="416" spans="1:42">
      <c r="A416" s="33" t="str">
        <f t="shared" si="49"/>
        <v/>
      </c>
      <c r="I416" s="33"/>
      <c r="J416" s="173" t="str" cm="1">
        <f t="array" aca="1" ref="J416" ca="1">IFERROR(_xlfn.IFS(OR(AL416&lt;&gt;"",AP416&lt;&gt;""),"STCOアサイン済",OR(AN416&lt;&gt;"",AO416&lt;&gt;""),"CHAT中"),"")</f>
        <v/>
      </c>
      <c r="K416" s="33"/>
      <c r="L416" s="33"/>
      <c r="M416" s="33"/>
      <c r="N416" s="33"/>
      <c r="O416" s="33"/>
      <c r="AK416" s="33">
        <f t="shared" si="43"/>
        <v>0</v>
      </c>
      <c r="AL416" s="33" t="e">
        <f t="shared" ca="1" si="44"/>
        <v>#REF!</v>
      </c>
      <c r="AM416" s="33" t="str">
        <f t="shared" si="45"/>
        <v/>
      </c>
      <c r="AN416" s="33" t="e">
        <f t="shared" ca="1" si="46"/>
        <v>#REF!</v>
      </c>
      <c r="AO416" s="174" t="e">
        <f t="shared" ca="1" si="47"/>
        <v>#REF!</v>
      </c>
      <c r="AP416" s="174" t="e">
        <f t="shared" ca="1" si="48"/>
        <v>#REF!</v>
      </c>
    </row>
    <row r="417" spans="1:42">
      <c r="A417" s="33" t="str">
        <f t="shared" si="49"/>
        <v/>
      </c>
      <c r="I417" s="33"/>
      <c r="J417" s="173" t="str" cm="1">
        <f t="array" aca="1" ref="J417" ca="1">IFERROR(_xlfn.IFS(OR(AL417&lt;&gt;"",AP417&lt;&gt;""),"STCOアサイン済",OR(AN417&lt;&gt;"",AO417&lt;&gt;""),"CHAT中"),"")</f>
        <v/>
      </c>
      <c r="K417" s="33"/>
      <c r="L417" s="33"/>
      <c r="M417" s="33"/>
      <c r="N417" s="33"/>
      <c r="O417" s="33"/>
      <c r="AK417" s="33">
        <f t="shared" si="43"/>
        <v>0</v>
      </c>
      <c r="AL417" s="33" t="e">
        <f t="shared" ca="1" si="44"/>
        <v>#REF!</v>
      </c>
      <c r="AM417" s="33" t="str">
        <f t="shared" si="45"/>
        <v/>
      </c>
      <c r="AN417" s="33" t="e">
        <f t="shared" ca="1" si="46"/>
        <v>#REF!</v>
      </c>
      <c r="AO417" s="174" t="e">
        <f t="shared" ca="1" si="47"/>
        <v>#REF!</v>
      </c>
      <c r="AP417" s="174" t="e">
        <f t="shared" ca="1" si="48"/>
        <v>#REF!</v>
      </c>
    </row>
    <row r="418" spans="1:42">
      <c r="A418" s="33" t="str">
        <f t="shared" si="49"/>
        <v/>
      </c>
      <c r="I418" s="33"/>
      <c r="J418" s="173" t="str" cm="1">
        <f t="array" aca="1" ref="J418" ca="1">IFERROR(_xlfn.IFS(OR(AL418&lt;&gt;"",AP418&lt;&gt;""),"STCOアサイン済",OR(AN418&lt;&gt;"",AO418&lt;&gt;""),"CHAT中"),"")</f>
        <v/>
      </c>
      <c r="K418" s="33"/>
      <c r="L418" s="33"/>
      <c r="M418" s="33"/>
      <c r="N418" s="33"/>
      <c r="O418" s="33"/>
      <c r="AK418" s="33">
        <f t="shared" si="43"/>
        <v>0</v>
      </c>
      <c r="AL418" s="33" t="e">
        <f t="shared" ca="1" si="44"/>
        <v>#REF!</v>
      </c>
      <c r="AM418" s="33" t="str">
        <f t="shared" si="45"/>
        <v/>
      </c>
      <c r="AN418" s="33" t="e">
        <f t="shared" ca="1" si="46"/>
        <v>#REF!</v>
      </c>
      <c r="AO418" s="174" t="e">
        <f t="shared" ca="1" si="47"/>
        <v>#REF!</v>
      </c>
      <c r="AP418" s="174" t="e">
        <f t="shared" ca="1" si="48"/>
        <v>#REF!</v>
      </c>
    </row>
    <row r="419" spans="1:42">
      <c r="A419" s="33" t="str">
        <f t="shared" si="49"/>
        <v/>
      </c>
      <c r="I419" s="33"/>
      <c r="J419" s="173" t="str" cm="1">
        <f t="array" aca="1" ref="J419" ca="1">IFERROR(_xlfn.IFS(OR(AL419&lt;&gt;"",AP419&lt;&gt;""),"STCOアサイン済",OR(AN419&lt;&gt;"",AO419&lt;&gt;""),"CHAT中"),"")</f>
        <v/>
      </c>
      <c r="K419" s="33"/>
      <c r="L419" s="33"/>
      <c r="M419" s="33"/>
      <c r="N419" s="33"/>
      <c r="O419" s="33"/>
      <c r="AK419" s="33">
        <f t="shared" si="43"/>
        <v>0</v>
      </c>
      <c r="AL419" s="33" t="e">
        <f t="shared" ca="1" si="44"/>
        <v>#REF!</v>
      </c>
      <c r="AM419" s="33" t="str">
        <f t="shared" si="45"/>
        <v/>
      </c>
      <c r="AN419" s="33" t="e">
        <f t="shared" ca="1" si="46"/>
        <v>#REF!</v>
      </c>
      <c r="AO419" s="174" t="e">
        <f t="shared" ca="1" si="47"/>
        <v>#REF!</v>
      </c>
      <c r="AP419" s="174" t="e">
        <f t="shared" ca="1" si="48"/>
        <v>#REF!</v>
      </c>
    </row>
    <row r="420" spans="1:42">
      <c r="A420" s="33" t="str">
        <f t="shared" si="49"/>
        <v/>
      </c>
      <c r="I420" s="33"/>
      <c r="J420" s="173" t="str" cm="1">
        <f t="array" aca="1" ref="J420" ca="1">IFERROR(_xlfn.IFS(OR(AL420&lt;&gt;"",AP420&lt;&gt;""),"STCOアサイン済",OR(AN420&lt;&gt;"",AO420&lt;&gt;""),"CHAT中"),"")</f>
        <v/>
      </c>
      <c r="K420" s="33"/>
      <c r="L420" s="33"/>
      <c r="M420" s="33"/>
      <c r="N420" s="33"/>
      <c r="O420" s="33"/>
      <c r="AK420" s="33">
        <f t="shared" si="43"/>
        <v>0</v>
      </c>
      <c r="AL420" s="33" t="e">
        <f t="shared" ca="1" si="44"/>
        <v>#REF!</v>
      </c>
      <c r="AM420" s="33" t="str">
        <f t="shared" si="45"/>
        <v/>
      </c>
      <c r="AN420" s="33" t="e">
        <f t="shared" ca="1" si="46"/>
        <v>#REF!</v>
      </c>
      <c r="AO420" s="174" t="e">
        <f t="shared" ca="1" si="47"/>
        <v>#REF!</v>
      </c>
      <c r="AP420" s="174" t="e">
        <f t="shared" ca="1" si="48"/>
        <v>#REF!</v>
      </c>
    </row>
    <row r="421" spans="1:42">
      <c r="A421" s="33" t="str">
        <f t="shared" si="49"/>
        <v/>
      </c>
      <c r="I421" s="33"/>
      <c r="J421" s="173" t="str" cm="1">
        <f t="array" aca="1" ref="J421" ca="1">IFERROR(_xlfn.IFS(OR(AL421&lt;&gt;"",AP421&lt;&gt;""),"STCOアサイン済",OR(AN421&lt;&gt;"",AO421&lt;&gt;""),"CHAT中"),"")</f>
        <v/>
      </c>
      <c r="K421" s="33"/>
      <c r="L421" s="33"/>
      <c r="M421" s="33"/>
      <c r="N421" s="33"/>
      <c r="O421" s="33"/>
      <c r="AK421" s="33">
        <f t="shared" si="43"/>
        <v>0</v>
      </c>
      <c r="AL421" s="33" t="e">
        <f t="shared" ca="1" si="44"/>
        <v>#REF!</v>
      </c>
      <c r="AM421" s="33" t="str">
        <f t="shared" si="45"/>
        <v/>
      </c>
      <c r="AN421" s="33" t="e">
        <f t="shared" ca="1" si="46"/>
        <v>#REF!</v>
      </c>
      <c r="AO421" s="174" t="e">
        <f t="shared" ca="1" si="47"/>
        <v>#REF!</v>
      </c>
      <c r="AP421" s="174" t="e">
        <f t="shared" ca="1" si="48"/>
        <v>#REF!</v>
      </c>
    </row>
    <row r="422" spans="1:42">
      <c r="A422" s="33" t="str">
        <f t="shared" si="49"/>
        <v/>
      </c>
      <c r="I422" s="33"/>
      <c r="J422" s="173" t="str" cm="1">
        <f t="array" aca="1" ref="J422" ca="1">IFERROR(_xlfn.IFS(OR(AL422&lt;&gt;"",AP422&lt;&gt;""),"STCOアサイン済",OR(AN422&lt;&gt;"",AO422&lt;&gt;""),"CHAT中"),"")</f>
        <v/>
      </c>
      <c r="K422" s="33"/>
      <c r="L422" s="33"/>
      <c r="M422" s="33"/>
      <c r="N422" s="33"/>
      <c r="O422" s="33"/>
      <c r="AK422" s="33">
        <f t="shared" si="43"/>
        <v>0</v>
      </c>
      <c r="AL422" s="33" t="e">
        <f t="shared" ca="1" si="44"/>
        <v>#REF!</v>
      </c>
      <c r="AM422" s="33" t="str">
        <f t="shared" si="45"/>
        <v/>
      </c>
      <c r="AN422" s="33" t="e">
        <f t="shared" ca="1" si="46"/>
        <v>#REF!</v>
      </c>
      <c r="AO422" s="174" t="e">
        <f t="shared" ca="1" si="47"/>
        <v>#REF!</v>
      </c>
      <c r="AP422" s="174" t="e">
        <f t="shared" ca="1" si="48"/>
        <v>#REF!</v>
      </c>
    </row>
    <row r="423" spans="1:42">
      <c r="A423" s="33" t="str">
        <f t="shared" si="49"/>
        <v/>
      </c>
      <c r="I423" s="33"/>
      <c r="J423" s="173" t="str" cm="1">
        <f t="array" aca="1" ref="J423" ca="1">IFERROR(_xlfn.IFS(OR(AL423&lt;&gt;"",AP423&lt;&gt;""),"STCOアサイン済",OR(AN423&lt;&gt;"",AO423&lt;&gt;""),"CHAT中"),"")</f>
        <v/>
      </c>
      <c r="K423" s="33"/>
      <c r="L423" s="33"/>
      <c r="M423" s="33"/>
      <c r="N423" s="33"/>
      <c r="O423" s="33"/>
      <c r="AK423" s="33">
        <f t="shared" si="43"/>
        <v>0</v>
      </c>
      <c r="AL423" s="33" t="e">
        <f t="shared" ca="1" si="44"/>
        <v>#REF!</v>
      </c>
      <c r="AM423" s="33" t="str">
        <f t="shared" si="45"/>
        <v/>
      </c>
      <c r="AN423" s="33" t="e">
        <f t="shared" ca="1" si="46"/>
        <v>#REF!</v>
      </c>
      <c r="AO423" s="174" t="e">
        <f t="shared" ca="1" si="47"/>
        <v>#REF!</v>
      </c>
      <c r="AP423" s="174" t="e">
        <f t="shared" ca="1" si="48"/>
        <v>#REF!</v>
      </c>
    </row>
    <row r="424" spans="1:42">
      <c r="A424" s="33" t="str">
        <f t="shared" si="49"/>
        <v/>
      </c>
      <c r="I424" s="33"/>
      <c r="J424" s="173" t="str" cm="1">
        <f t="array" aca="1" ref="J424" ca="1">IFERROR(_xlfn.IFS(OR(AL424&lt;&gt;"",AP424&lt;&gt;""),"STCOアサイン済",OR(AN424&lt;&gt;"",AO424&lt;&gt;""),"CHAT中"),"")</f>
        <v/>
      </c>
      <c r="K424" s="33"/>
      <c r="L424" s="33"/>
      <c r="M424" s="33"/>
      <c r="N424" s="33"/>
      <c r="O424" s="33"/>
      <c r="AK424" s="33">
        <f t="shared" si="43"/>
        <v>0</v>
      </c>
      <c r="AL424" s="33" t="e">
        <f t="shared" ca="1" si="44"/>
        <v>#REF!</v>
      </c>
      <c r="AM424" s="33" t="str">
        <f t="shared" si="45"/>
        <v/>
      </c>
      <c r="AN424" s="33" t="e">
        <f t="shared" ca="1" si="46"/>
        <v>#REF!</v>
      </c>
      <c r="AO424" s="174" t="e">
        <f t="shared" ca="1" si="47"/>
        <v>#REF!</v>
      </c>
      <c r="AP424" s="174" t="e">
        <f t="shared" ca="1" si="48"/>
        <v>#REF!</v>
      </c>
    </row>
    <row r="425" spans="1:42">
      <c r="A425" s="33" t="str">
        <f t="shared" si="49"/>
        <v/>
      </c>
      <c r="I425" s="33"/>
      <c r="J425" s="173" t="str" cm="1">
        <f t="array" aca="1" ref="J425" ca="1">IFERROR(_xlfn.IFS(OR(AL425&lt;&gt;"",AP425&lt;&gt;""),"STCOアサイン済",OR(AN425&lt;&gt;"",AO425&lt;&gt;""),"CHAT中"),"")</f>
        <v/>
      </c>
      <c r="K425" s="33"/>
      <c r="L425" s="33"/>
      <c r="M425" s="33"/>
      <c r="N425" s="33"/>
      <c r="O425" s="33"/>
      <c r="AK425" s="33">
        <f t="shared" si="43"/>
        <v>0</v>
      </c>
      <c r="AL425" s="33" t="e">
        <f t="shared" ca="1" si="44"/>
        <v>#REF!</v>
      </c>
      <c r="AM425" s="33" t="str">
        <f t="shared" si="45"/>
        <v/>
      </c>
      <c r="AN425" s="33" t="e">
        <f t="shared" ca="1" si="46"/>
        <v>#REF!</v>
      </c>
      <c r="AO425" s="174" t="e">
        <f t="shared" ca="1" si="47"/>
        <v>#REF!</v>
      </c>
      <c r="AP425" s="174" t="e">
        <f t="shared" ca="1" si="48"/>
        <v>#REF!</v>
      </c>
    </row>
    <row r="426" spans="1:42">
      <c r="A426" s="33" t="str">
        <f t="shared" si="49"/>
        <v/>
      </c>
      <c r="I426" s="33"/>
      <c r="J426" s="173" t="str" cm="1">
        <f t="array" aca="1" ref="J426" ca="1">IFERROR(_xlfn.IFS(OR(AL426&lt;&gt;"",AP426&lt;&gt;""),"STCOアサイン済",OR(AN426&lt;&gt;"",AO426&lt;&gt;""),"CHAT中"),"")</f>
        <v/>
      </c>
      <c r="K426" s="33"/>
      <c r="L426" s="33"/>
      <c r="M426" s="33"/>
      <c r="N426" s="33"/>
      <c r="O426" s="33"/>
      <c r="AK426" s="33">
        <f t="shared" si="43"/>
        <v>0</v>
      </c>
      <c r="AL426" s="33" t="e">
        <f t="shared" ca="1" si="44"/>
        <v>#REF!</v>
      </c>
      <c r="AM426" s="33" t="str">
        <f t="shared" si="45"/>
        <v/>
      </c>
      <c r="AN426" s="33" t="e">
        <f t="shared" ca="1" si="46"/>
        <v>#REF!</v>
      </c>
      <c r="AO426" s="174" t="e">
        <f t="shared" ca="1" si="47"/>
        <v>#REF!</v>
      </c>
      <c r="AP426" s="174" t="e">
        <f t="shared" ca="1" si="48"/>
        <v>#REF!</v>
      </c>
    </row>
    <row r="427" spans="1:42">
      <c r="A427" s="33" t="str">
        <f t="shared" si="49"/>
        <v/>
      </c>
      <c r="I427" s="33"/>
      <c r="J427" s="173" t="str" cm="1">
        <f t="array" aca="1" ref="J427" ca="1">IFERROR(_xlfn.IFS(OR(AL427&lt;&gt;"",AP427&lt;&gt;""),"STCOアサイン済",OR(AN427&lt;&gt;"",AO427&lt;&gt;""),"CHAT中"),"")</f>
        <v/>
      </c>
      <c r="K427" s="33"/>
      <c r="L427" s="33"/>
      <c r="M427" s="33"/>
      <c r="N427" s="33"/>
      <c r="O427" s="33"/>
      <c r="AK427" s="33">
        <f t="shared" si="43"/>
        <v>0</v>
      </c>
      <c r="AL427" s="33" t="e">
        <f t="shared" ca="1" si="44"/>
        <v>#REF!</v>
      </c>
      <c r="AM427" s="33" t="str">
        <f t="shared" si="45"/>
        <v/>
      </c>
      <c r="AN427" s="33" t="e">
        <f t="shared" ca="1" si="46"/>
        <v>#REF!</v>
      </c>
      <c r="AO427" s="174" t="e">
        <f t="shared" ca="1" si="47"/>
        <v>#REF!</v>
      </c>
      <c r="AP427" s="174" t="e">
        <f t="shared" ca="1" si="48"/>
        <v>#REF!</v>
      </c>
    </row>
    <row r="428" spans="1:42">
      <c r="A428" s="33" t="str">
        <f t="shared" si="49"/>
        <v/>
      </c>
      <c r="I428" s="33"/>
      <c r="J428" s="173" t="str" cm="1">
        <f t="array" aca="1" ref="J428" ca="1">IFERROR(_xlfn.IFS(OR(AL428&lt;&gt;"",AP428&lt;&gt;""),"STCOアサイン済",OR(AN428&lt;&gt;"",AO428&lt;&gt;""),"CHAT中"),"")</f>
        <v/>
      </c>
      <c r="K428" s="33"/>
      <c r="L428" s="33"/>
      <c r="M428" s="33"/>
      <c r="N428" s="33"/>
      <c r="O428" s="33"/>
      <c r="AK428" s="33">
        <f t="shared" si="43"/>
        <v>0</v>
      </c>
      <c r="AL428" s="33" t="e">
        <f t="shared" ca="1" si="44"/>
        <v>#REF!</v>
      </c>
      <c r="AM428" s="33" t="str">
        <f t="shared" si="45"/>
        <v/>
      </c>
      <c r="AN428" s="33" t="e">
        <f t="shared" ca="1" si="46"/>
        <v>#REF!</v>
      </c>
      <c r="AO428" s="174" t="e">
        <f t="shared" ca="1" si="47"/>
        <v>#REF!</v>
      </c>
      <c r="AP428" s="174" t="e">
        <f t="shared" ca="1" si="48"/>
        <v>#REF!</v>
      </c>
    </row>
    <row r="429" spans="1:42">
      <c r="A429" s="33" t="str">
        <f t="shared" si="49"/>
        <v/>
      </c>
      <c r="I429" s="33"/>
      <c r="J429" s="173" t="str" cm="1">
        <f t="array" aca="1" ref="J429" ca="1">IFERROR(_xlfn.IFS(OR(AL429&lt;&gt;"",AP429&lt;&gt;""),"STCOアサイン済",OR(AN429&lt;&gt;"",AO429&lt;&gt;""),"CHAT中"),"")</f>
        <v/>
      </c>
      <c r="K429" s="33"/>
      <c r="L429" s="33"/>
      <c r="M429" s="33"/>
      <c r="N429" s="33"/>
      <c r="O429" s="33"/>
      <c r="AK429" s="33">
        <f t="shared" si="43"/>
        <v>0</v>
      </c>
      <c r="AL429" s="33" t="e">
        <f t="shared" ca="1" si="44"/>
        <v>#REF!</v>
      </c>
      <c r="AM429" s="33" t="str">
        <f t="shared" si="45"/>
        <v/>
      </c>
      <c r="AN429" s="33" t="e">
        <f t="shared" ca="1" si="46"/>
        <v>#REF!</v>
      </c>
      <c r="AO429" s="174" t="e">
        <f t="shared" ca="1" si="47"/>
        <v>#REF!</v>
      </c>
      <c r="AP429" s="174" t="e">
        <f t="shared" ca="1" si="48"/>
        <v>#REF!</v>
      </c>
    </row>
    <row r="430" spans="1:42">
      <c r="A430" s="33" t="str">
        <f t="shared" si="49"/>
        <v/>
      </c>
      <c r="I430" s="33"/>
      <c r="J430" s="173" t="str" cm="1">
        <f t="array" aca="1" ref="J430" ca="1">IFERROR(_xlfn.IFS(OR(AL430&lt;&gt;"",AP430&lt;&gt;""),"STCOアサイン済",OR(AN430&lt;&gt;"",AO430&lt;&gt;""),"CHAT中"),"")</f>
        <v/>
      </c>
      <c r="K430" s="33"/>
      <c r="L430" s="33"/>
      <c r="M430" s="33"/>
      <c r="N430" s="33"/>
      <c r="O430" s="33"/>
      <c r="AK430" s="33">
        <f t="shared" si="43"/>
        <v>0</v>
      </c>
      <c r="AL430" s="33" t="e">
        <f t="shared" ca="1" si="44"/>
        <v>#REF!</v>
      </c>
      <c r="AM430" s="33" t="str">
        <f t="shared" si="45"/>
        <v/>
      </c>
      <c r="AN430" s="33" t="e">
        <f t="shared" ca="1" si="46"/>
        <v>#REF!</v>
      </c>
      <c r="AO430" s="174" t="e">
        <f t="shared" ca="1" si="47"/>
        <v>#REF!</v>
      </c>
      <c r="AP430" s="174" t="e">
        <f t="shared" ca="1" si="48"/>
        <v>#REF!</v>
      </c>
    </row>
    <row r="431" spans="1:42">
      <c r="A431" s="33" t="str">
        <f t="shared" si="49"/>
        <v/>
      </c>
      <c r="I431" s="33"/>
      <c r="J431" s="173" t="str" cm="1">
        <f t="array" aca="1" ref="J431" ca="1">IFERROR(_xlfn.IFS(OR(AL431&lt;&gt;"",AP431&lt;&gt;""),"STCOアサイン済",OR(AN431&lt;&gt;"",AO431&lt;&gt;""),"CHAT中"),"")</f>
        <v/>
      </c>
      <c r="K431" s="33"/>
      <c r="L431" s="33"/>
      <c r="M431" s="33"/>
      <c r="N431" s="33"/>
      <c r="O431" s="33"/>
      <c r="AK431" s="33">
        <f t="shared" si="43"/>
        <v>0</v>
      </c>
      <c r="AL431" s="33" t="e">
        <f t="shared" ca="1" si="44"/>
        <v>#REF!</v>
      </c>
      <c r="AM431" s="33" t="str">
        <f t="shared" si="45"/>
        <v/>
      </c>
      <c r="AN431" s="33" t="e">
        <f t="shared" ca="1" si="46"/>
        <v>#REF!</v>
      </c>
      <c r="AO431" s="174" t="e">
        <f t="shared" ca="1" si="47"/>
        <v>#REF!</v>
      </c>
      <c r="AP431" s="174" t="e">
        <f t="shared" ca="1" si="48"/>
        <v>#REF!</v>
      </c>
    </row>
    <row r="432" spans="1:42">
      <c r="A432" s="33" t="str">
        <f t="shared" si="49"/>
        <v/>
      </c>
      <c r="I432" s="33"/>
      <c r="J432" s="173" t="str" cm="1">
        <f t="array" aca="1" ref="J432" ca="1">IFERROR(_xlfn.IFS(OR(AL432&lt;&gt;"",AP432&lt;&gt;""),"STCOアサイン済",OR(AN432&lt;&gt;"",AO432&lt;&gt;""),"CHAT中"),"")</f>
        <v/>
      </c>
      <c r="K432" s="33"/>
      <c r="L432" s="33"/>
      <c r="M432" s="33"/>
      <c r="N432" s="33"/>
      <c r="O432" s="33"/>
      <c r="AK432" s="33">
        <f t="shared" si="43"/>
        <v>0</v>
      </c>
      <c r="AL432" s="33" t="e">
        <f t="shared" ca="1" si="44"/>
        <v>#REF!</v>
      </c>
      <c r="AM432" s="33" t="str">
        <f t="shared" si="45"/>
        <v/>
      </c>
      <c r="AN432" s="33" t="e">
        <f t="shared" ca="1" si="46"/>
        <v>#REF!</v>
      </c>
      <c r="AO432" s="174" t="e">
        <f t="shared" ca="1" si="47"/>
        <v>#REF!</v>
      </c>
      <c r="AP432" s="174" t="e">
        <f t="shared" ca="1" si="48"/>
        <v>#REF!</v>
      </c>
    </row>
    <row r="433" spans="1:42">
      <c r="A433" s="33" t="str">
        <f t="shared" si="49"/>
        <v/>
      </c>
      <c r="I433" s="33"/>
      <c r="J433" s="173" t="str" cm="1">
        <f t="array" aca="1" ref="J433" ca="1">IFERROR(_xlfn.IFS(OR(AL433&lt;&gt;"",AP433&lt;&gt;""),"STCOアサイン済",OR(AN433&lt;&gt;"",AO433&lt;&gt;""),"CHAT中"),"")</f>
        <v/>
      </c>
      <c r="K433" s="33"/>
      <c r="L433" s="33"/>
      <c r="M433" s="33"/>
      <c r="N433" s="33"/>
      <c r="O433" s="33"/>
      <c r="AK433" s="33">
        <f t="shared" si="43"/>
        <v>0</v>
      </c>
      <c r="AL433" s="33" t="e">
        <f t="shared" ca="1" si="44"/>
        <v>#REF!</v>
      </c>
      <c r="AM433" s="33" t="str">
        <f t="shared" si="45"/>
        <v/>
      </c>
      <c r="AN433" s="33" t="e">
        <f t="shared" ca="1" si="46"/>
        <v>#REF!</v>
      </c>
      <c r="AO433" s="174" t="e">
        <f t="shared" ca="1" si="47"/>
        <v>#REF!</v>
      </c>
      <c r="AP433" s="174" t="e">
        <f t="shared" ca="1" si="48"/>
        <v>#REF!</v>
      </c>
    </row>
    <row r="434" spans="1:42">
      <c r="A434" s="33" t="str">
        <f t="shared" si="49"/>
        <v/>
      </c>
      <c r="I434" s="33"/>
      <c r="J434" s="173" t="str" cm="1">
        <f t="array" aca="1" ref="J434" ca="1">IFERROR(_xlfn.IFS(OR(AL434&lt;&gt;"",AP434&lt;&gt;""),"STCOアサイン済",OR(AN434&lt;&gt;"",AO434&lt;&gt;""),"CHAT中"),"")</f>
        <v/>
      </c>
      <c r="K434" s="33"/>
      <c r="L434" s="33"/>
      <c r="M434" s="33"/>
      <c r="N434" s="33"/>
      <c r="O434" s="33"/>
      <c r="AK434" s="33">
        <f t="shared" si="43"/>
        <v>0</v>
      </c>
      <c r="AL434" s="33" t="e">
        <f t="shared" ca="1" si="44"/>
        <v>#REF!</v>
      </c>
      <c r="AM434" s="33" t="str">
        <f t="shared" si="45"/>
        <v/>
      </c>
      <c r="AN434" s="33" t="e">
        <f t="shared" ca="1" si="46"/>
        <v>#REF!</v>
      </c>
      <c r="AO434" s="174" t="e">
        <f t="shared" ca="1" si="47"/>
        <v>#REF!</v>
      </c>
      <c r="AP434" s="174" t="e">
        <f t="shared" ca="1" si="48"/>
        <v>#REF!</v>
      </c>
    </row>
    <row r="435" spans="1:42">
      <c r="A435" s="33" t="str">
        <f t="shared" si="49"/>
        <v/>
      </c>
      <c r="I435" s="33"/>
      <c r="J435" s="173" t="str" cm="1">
        <f t="array" aca="1" ref="J435" ca="1">IFERROR(_xlfn.IFS(OR(AL435&lt;&gt;"",AP435&lt;&gt;""),"STCOアサイン済",OR(AN435&lt;&gt;"",AO435&lt;&gt;""),"CHAT中"),"")</f>
        <v/>
      </c>
      <c r="K435" s="33"/>
      <c r="L435" s="33"/>
      <c r="M435" s="33"/>
      <c r="N435" s="33"/>
      <c r="O435" s="33"/>
      <c r="AK435" s="33">
        <f t="shared" si="43"/>
        <v>0</v>
      </c>
      <c r="AL435" s="33" t="e">
        <f t="shared" ca="1" si="44"/>
        <v>#REF!</v>
      </c>
      <c r="AM435" s="33" t="str">
        <f t="shared" si="45"/>
        <v/>
      </c>
      <c r="AN435" s="33" t="e">
        <f t="shared" ca="1" si="46"/>
        <v>#REF!</v>
      </c>
      <c r="AO435" s="174" t="e">
        <f t="shared" ca="1" si="47"/>
        <v>#REF!</v>
      </c>
      <c r="AP435" s="174" t="e">
        <f t="shared" ca="1" si="48"/>
        <v>#REF!</v>
      </c>
    </row>
    <row r="436" spans="1:42">
      <c r="A436" s="33" t="str">
        <f t="shared" si="49"/>
        <v/>
      </c>
      <c r="I436" s="33"/>
      <c r="J436" s="173" t="str" cm="1">
        <f t="array" aca="1" ref="J436" ca="1">IFERROR(_xlfn.IFS(OR(AL436&lt;&gt;"",AP436&lt;&gt;""),"STCOアサイン済",OR(AN436&lt;&gt;"",AO436&lt;&gt;""),"CHAT中"),"")</f>
        <v/>
      </c>
      <c r="K436" s="33"/>
      <c r="L436" s="33"/>
      <c r="M436" s="33"/>
      <c r="N436" s="33"/>
      <c r="O436" s="33"/>
      <c r="AK436" s="33">
        <f t="shared" si="43"/>
        <v>0</v>
      </c>
      <c r="AL436" s="33" t="e">
        <f t="shared" ca="1" si="44"/>
        <v>#REF!</v>
      </c>
      <c r="AM436" s="33" t="str">
        <f t="shared" si="45"/>
        <v/>
      </c>
      <c r="AN436" s="33" t="e">
        <f t="shared" ca="1" si="46"/>
        <v>#REF!</v>
      </c>
      <c r="AO436" s="174" t="e">
        <f t="shared" ca="1" si="47"/>
        <v>#REF!</v>
      </c>
      <c r="AP436" s="174" t="e">
        <f t="shared" ca="1" si="48"/>
        <v>#REF!</v>
      </c>
    </row>
    <row r="437" spans="1:42">
      <c r="A437" s="33" t="str">
        <f t="shared" si="49"/>
        <v/>
      </c>
      <c r="I437" s="33"/>
      <c r="J437" s="173" t="str" cm="1">
        <f t="array" aca="1" ref="J437" ca="1">IFERROR(_xlfn.IFS(OR(AL437&lt;&gt;"",AP437&lt;&gt;""),"STCOアサイン済",OR(AN437&lt;&gt;"",AO437&lt;&gt;""),"CHAT中"),"")</f>
        <v/>
      </c>
      <c r="K437" s="33"/>
      <c r="L437" s="33"/>
      <c r="M437" s="33"/>
      <c r="N437" s="33"/>
      <c r="O437" s="33"/>
      <c r="AK437" s="33">
        <f t="shared" si="43"/>
        <v>0</v>
      </c>
      <c r="AL437" s="33" t="e">
        <f t="shared" ca="1" si="44"/>
        <v>#REF!</v>
      </c>
      <c r="AM437" s="33" t="str">
        <f t="shared" si="45"/>
        <v/>
      </c>
      <c r="AN437" s="33" t="e">
        <f t="shared" ca="1" si="46"/>
        <v>#REF!</v>
      </c>
      <c r="AO437" s="174" t="e">
        <f t="shared" ca="1" si="47"/>
        <v>#REF!</v>
      </c>
      <c r="AP437" s="174" t="e">
        <f t="shared" ca="1" si="48"/>
        <v>#REF!</v>
      </c>
    </row>
    <row r="438" spans="1:42">
      <c r="A438" s="33" t="str">
        <f t="shared" si="49"/>
        <v/>
      </c>
      <c r="I438" s="33"/>
      <c r="J438" s="173" t="str" cm="1">
        <f t="array" aca="1" ref="J438" ca="1">IFERROR(_xlfn.IFS(OR(AL438&lt;&gt;"",AP438&lt;&gt;""),"STCOアサイン済",OR(AN438&lt;&gt;"",AO438&lt;&gt;""),"CHAT中"),"")</f>
        <v/>
      </c>
      <c r="K438" s="33"/>
      <c r="L438" s="33"/>
      <c r="M438" s="33"/>
      <c r="N438" s="33"/>
      <c r="O438" s="33"/>
      <c r="AK438" s="33">
        <f t="shared" si="43"/>
        <v>0</v>
      </c>
      <c r="AL438" s="33" t="e">
        <f t="shared" ca="1" si="44"/>
        <v>#REF!</v>
      </c>
      <c r="AM438" s="33" t="str">
        <f t="shared" si="45"/>
        <v/>
      </c>
      <c r="AN438" s="33" t="e">
        <f t="shared" ca="1" si="46"/>
        <v>#REF!</v>
      </c>
      <c r="AO438" s="174" t="e">
        <f t="shared" ca="1" si="47"/>
        <v>#REF!</v>
      </c>
      <c r="AP438" s="174" t="e">
        <f t="shared" ca="1" si="48"/>
        <v>#REF!</v>
      </c>
    </row>
    <row r="439" spans="1:42">
      <c r="A439" s="33" t="str">
        <f t="shared" si="49"/>
        <v/>
      </c>
      <c r="I439" s="33"/>
      <c r="J439" s="173" t="str" cm="1">
        <f t="array" aca="1" ref="J439" ca="1">IFERROR(_xlfn.IFS(OR(AL439&lt;&gt;"",AP439&lt;&gt;""),"STCOアサイン済",OR(AN439&lt;&gt;"",AO439&lt;&gt;""),"CHAT中"),"")</f>
        <v/>
      </c>
      <c r="K439" s="33"/>
      <c r="L439" s="33"/>
      <c r="M439" s="33"/>
      <c r="N439" s="33"/>
      <c r="O439" s="33"/>
      <c r="AK439" s="33">
        <f t="shared" si="43"/>
        <v>0</v>
      </c>
      <c r="AL439" s="33" t="e">
        <f t="shared" ca="1" si="44"/>
        <v>#REF!</v>
      </c>
      <c r="AM439" s="33" t="str">
        <f t="shared" si="45"/>
        <v/>
      </c>
      <c r="AN439" s="33" t="e">
        <f t="shared" ca="1" si="46"/>
        <v>#REF!</v>
      </c>
      <c r="AO439" s="174" t="e">
        <f t="shared" ca="1" si="47"/>
        <v>#REF!</v>
      </c>
      <c r="AP439" s="174" t="e">
        <f t="shared" ca="1" si="48"/>
        <v>#REF!</v>
      </c>
    </row>
    <row r="440" spans="1:42">
      <c r="A440" s="33" t="str">
        <f t="shared" si="49"/>
        <v/>
      </c>
      <c r="I440" s="33"/>
      <c r="J440" s="173" t="str" cm="1">
        <f t="array" aca="1" ref="J440" ca="1">IFERROR(_xlfn.IFS(OR(AL440&lt;&gt;"",AP440&lt;&gt;""),"STCOアサイン済",OR(AN440&lt;&gt;"",AO440&lt;&gt;""),"CHAT中"),"")</f>
        <v/>
      </c>
      <c r="K440" s="33"/>
      <c r="L440" s="33"/>
      <c r="M440" s="33"/>
      <c r="N440" s="33"/>
      <c r="O440" s="33"/>
      <c r="AK440" s="33">
        <f t="shared" si="43"/>
        <v>0</v>
      </c>
      <c r="AL440" s="33" t="e">
        <f t="shared" ca="1" si="44"/>
        <v>#REF!</v>
      </c>
      <c r="AM440" s="33" t="str">
        <f t="shared" si="45"/>
        <v/>
      </c>
      <c r="AN440" s="33" t="e">
        <f t="shared" ca="1" si="46"/>
        <v>#REF!</v>
      </c>
      <c r="AO440" s="174" t="e">
        <f t="shared" ca="1" si="47"/>
        <v>#REF!</v>
      </c>
      <c r="AP440" s="174" t="e">
        <f t="shared" ca="1" si="48"/>
        <v>#REF!</v>
      </c>
    </row>
    <row r="441" spans="1:42">
      <c r="A441" s="33" t="str">
        <f t="shared" si="49"/>
        <v/>
      </c>
      <c r="I441" s="33"/>
      <c r="J441" s="173" t="str" cm="1">
        <f t="array" aca="1" ref="J441" ca="1">IFERROR(_xlfn.IFS(OR(AL441&lt;&gt;"",AP441&lt;&gt;""),"STCOアサイン済",OR(AN441&lt;&gt;"",AO441&lt;&gt;""),"CHAT中"),"")</f>
        <v/>
      </c>
      <c r="K441" s="33"/>
      <c r="L441" s="33"/>
      <c r="M441" s="33"/>
      <c r="N441" s="33"/>
      <c r="O441" s="33"/>
      <c r="AK441" s="33">
        <f t="shared" si="43"/>
        <v>0</v>
      </c>
      <c r="AL441" s="33" t="e">
        <f t="shared" ca="1" si="44"/>
        <v>#REF!</v>
      </c>
      <c r="AM441" s="33" t="str">
        <f t="shared" si="45"/>
        <v/>
      </c>
      <c r="AN441" s="33" t="e">
        <f t="shared" ca="1" si="46"/>
        <v>#REF!</v>
      </c>
      <c r="AO441" s="174" t="e">
        <f t="shared" ca="1" si="47"/>
        <v>#REF!</v>
      </c>
      <c r="AP441" s="174" t="e">
        <f t="shared" ca="1" si="48"/>
        <v>#REF!</v>
      </c>
    </row>
    <row r="442" spans="1:42">
      <c r="A442" s="33" t="str">
        <f t="shared" si="49"/>
        <v/>
      </c>
      <c r="I442" s="33"/>
      <c r="J442" s="173" t="str" cm="1">
        <f t="array" aca="1" ref="J442" ca="1">IFERROR(_xlfn.IFS(OR(AL442&lt;&gt;"",AP442&lt;&gt;""),"STCOアサイン済",OR(AN442&lt;&gt;"",AO442&lt;&gt;""),"CHAT中"),"")</f>
        <v/>
      </c>
      <c r="K442" s="33"/>
      <c r="L442" s="33"/>
      <c r="M442" s="33"/>
      <c r="N442" s="33"/>
      <c r="O442" s="33"/>
      <c r="AK442" s="33">
        <f t="shared" si="43"/>
        <v>0</v>
      </c>
      <c r="AL442" s="33" t="e">
        <f t="shared" ca="1" si="44"/>
        <v>#REF!</v>
      </c>
      <c r="AM442" s="33" t="str">
        <f t="shared" si="45"/>
        <v/>
      </c>
      <c r="AN442" s="33" t="e">
        <f t="shared" ca="1" si="46"/>
        <v>#REF!</v>
      </c>
      <c r="AO442" s="174" t="e">
        <f t="shared" ca="1" si="47"/>
        <v>#REF!</v>
      </c>
      <c r="AP442" s="174" t="e">
        <f t="shared" ca="1" si="48"/>
        <v>#REF!</v>
      </c>
    </row>
    <row r="443" spans="1:42">
      <c r="A443" s="33" t="str">
        <f t="shared" si="49"/>
        <v/>
      </c>
      <c r="I443" s="33"/>
      <c r="J443" s="173" t="str" cm="1">
        <f t="array" aca="1" ref="J443" ca="1">IFERROR(_xlfn.IFS(OR(AL443&lt;&gt;"",AP443&lt;&gt;""),"STCOアサイン済",OR(AN443&lt;&gt;"",AO443&lt;&gt;""),"CHAT中"),"")</f>
        <v/>
      </c>
      <c r="K443" s="33"/>
      <c r="L443" s="33"/>
      <c r="M443" s="33"/>
      <c r="N443" s="33"/>
      <c r="O443" s="33"/>
      <c r="AK443" s="33">
        <f t="shared" si="43"/>
        <v>0</v>
      </c>
      <c r="AL443" s="33" t="e">
        <f t="shared" ca="1" si="44"/>
        <v>#REF!</v>
      </c>
      <c r="AM443" s="33" t="str">
        <f t="shared" si="45"/>
        <v/>
      </c>
      <c r="AN443" s="33" t="e">
        <f t="shared" ca="1" si="46"/>
        <v>#REF!</v>
      </c>
      <c r="AO443" s="174" t="e">
        <f t="shared" ca="1" si="47"/>
        <v>#REF!</v>
      </c>
      <c r="AP443" s="174" t="e">
        <f t="shared" ca="1" si="48"/>
        <v>#REF!</v>
      </c>
    </row>
    <row r="444" spans="1:42">
      <c r="A444" s="33" t="str">
        <f t="shared" si="49"/>
        <v/>
      </c>
      <c r="I444" s="33"/>
      <c r="J444" s="173" t="str" cm="1">
        <f t="array" aca="1" ref="J444" ca="1">IFERROR(_xlfn.IFS(OR(AL444&lt;&gt;"",AP444&lt;&gt;""),"STCOアサイン済",OR(AN444&lt;&gt;"",AO444&lt;&gt;""),"CHAT中"),"")</f>
        <v/>
      </c>
      <c r="K444" s="33"/>
      <c r="L444" s="33"/>
      <c r="M444" s="33"/>
      <c r="N444" s="33"/>
      <c r="O444" s="33"/>
      <c r="AK444" s="33">
        <f t="shared" si="43"/>
        <v>0</v>
      </c>
      <c r="AL444" s="33" t="e">
        <f t="shared" ca="1" si="44"/>
        <v>#REF!</v>
      </c>
      <c r="AM444" s="33" t="str">
        <f t="shared" si="45"/>
        <v/>
      </c>
      <c r="AN444" s="33" t="e">
        <f t="shared" ca="1" si="46"/>
        <v>#REF!</v>
      </c>
      <c r="AO444" s="174" t="e">
        <f t="shared" ca="1" si="47"/>
        <v>#REF!</v>
      </c>
      <c r="AP444" s="174" t="e">
        <f t="shared" ca="1" si="48"/>
        <v>#REF!</v>
      </c>
    </row>
    <row r="445" spans="1:42">
      <c r="A445" s="33" t="str">
        <f t="shared" si="49"/>
        <v/>
      </c>
      <c r="I445" s="33"/>
      <c r="J445" s="173" t="str" cm="1">
        <f t="array" aca="1" ref="J445" ca="1">IFERROR(_xlfn.IFS(OR(AL445&lt;&gt;"",AP445&lt;&gt;""),"STCOアサイン済",OR(AN445&lt;&gt;"",AO445&lt;&gt;""),"CHAT中"),"")</f>
        <v/>
      </c>
      <c r="K445" s="33"/>
      <c r="L445" s="33"/>
      <c r="M445" s="33"/>
      <c r="N445" s="33"/>
      <c r="O445" s="33"/>
      <c r="AK445" s="33">
        <f t="shared" si="43"/>
        <v>0</v>
      </c>
      <c r="AL445" s="33" t="e">
        <f t="shared" ca="1" si="44"/>
        <v>#REF!</v>
      </c>
      <c r="AM445" s="33" t="str">
        <f t="shared" si="45"/>
        <v/>
      </c>
      <c r="AN445" s="33" t="e">
        <f t="shared" ca="1" si="46"/>
        <v>#REF!</v>
      </c>
      <c r="AO445" s="174" t="e">
        <f t="shared" ca="1" si="47"/>
        <v>#REF!</v>
      </c>
      <c r="AP445" s="174" t="e">
        <f t="shared" ca="1" si="48"/>
        <v>#REF!</v>
      </c>
    </row>
    <row r="446" spans="1:42">
      <c r="A446" s="33" t="str">
        <f t="shared" si="49"/>
        <v/>
      </c>
      <c r="I446" s="33"/>
      <c r="J446" s="173" t="str" cm="1">
        <f t="array" aca="1" ref="J446" ca="1">IFERROR(_xlfn.IFS(OR(AL446&lt;&gt;"",AP446&lt;&gt;""),"STCOアサイン済",OR(AN446&lt;&gt;"",AO446&lt;&gt;""),"CHAT中"),"")</f>
        <v/>
      </c>
      <c r="K446" s="33"/>
      <c r="L446" s="33"/>
      <c r="M446" s="33"/>
      <c r="N446" s="33"/>
      <c r="O446" s="33"/>
      <c r="AK446" s="33">
        <f t="shared" si="43"/>
        <v>0</v>
      </c>
      <c r="AL446" s="33" t="e">
        <f t="shared" ca="1" si="44"/>
        <v>#REF!</v>
      </c>
      <c r="AM446" s="33" t="str">
        <f t="shared" si="45"/>
        <v/>
      </c>
      <c r="AN446" s="33" t="e">
        <f t="shared" ca="1" si="46"/>
        <v>#REF!</v>
      </c>
      <c r="AO446" s="174" t="e">
        <f t="shared" ca="1" si="47"/>
        <v>#REF!</v>
      </c>
      <c r="AP446" s="174" t="e">
        <f t="shared" ca="1" si="48"/>
        <v>#REF!</v>
      </c>
    </row>
    <row r="447" spans="1:42">
      <c r="A447" s="33" t="str">
        <f t="shared" si="49"/>
        <v/>
      </c>
      <c r="I447" s="33"/>
      <c r="J447" s="173" t="str" cm="1">
        <f t="array" aca="1" ref="J447" ca="1">IFERROR(_xlfn.IFS(OR(AL447&lt;&gt;"",AP447&lt;&gt;""),"STCOアサイン済",OR(AN447&lt;&gt;"",AO447&lt;&gt;""),"CHAT中"),"")</f>
        <v/>
      </c>
      <c r="K447" s="33"/>
      <c r="L447" s="33"/>
      <c r="M447" s="33"/>
      <c r="N447" s="33"/>
      <c r="O447" s="33"/>
      <c r="AK447" s="33">
        <f t="shared" si="43"/>
        <v>0</v>
      </c>
      <c r="AL447" s="33" t="e">
        <f t="shared" ca="1" si="44"/>
        <v>#REF!</v>
      </c>
      <c r="AM447" s="33" t="str">
        <f t="shared" si="45"/>
        <v/>
      </c>
      <c r="AN447" s="33" t="e">
        <f t="shared" ca="1" si="46"/>
        <v>#REF!</v>
      </c>
      <c r="AO447" s="174" t="e">
        <f t="shared" ca="1" si="47"/>
        <v>#REF!</v>
      </c>
      <c r="AP447" s="174" t="e">
        <f t="shared" ca="1" si="48"/>
        <v>#REF!</v>
      </c>
    </row>
    <row r="448" spans="1:42">
      <c r="A448" s="33" t="str">
        <f t="shared" si="49"/>
        <v/>
      </c>
      <c r="I448" s="33"/>
      <c r="J448" s="173" t="str" cm="1">
        <f t="array" aca="1" ref="J448" ca="1">IFERROR(_xlfn.IFS(OR(AL448&lt;&gt;"",AP448&lt;&gt;""),"STCOアサイン済",OR(AN448&lt;&gt;"",AO448&lt;&gt;""),"CHAT中"),"")</f>
        <v/>
      </c>
      <c r="K448" s="33"/>
      <c r="L448" s="33"/>
      <c r="M448" s="33"/>
      <c r="N448" s="33"/>
      <c r="O448" s="33"/>
      <c r="AK448" s="33">
        <f t="shared" si="43"/>
        <v>0</v>
      </c>
      <c r="AL448" s="33" t="e">
        <f t="shared" ca="1" si="44"/>
        <v>#REF!</v>
      </c>
      <c r="AM448" s="33" t="str">
        <f t="shared" si="45"/>
        <v/>
      </c>
      <c r="AN448" s="33" t="e">
        <f t="shared" ca="1" si="46"/>
        <v>#REF!</v>
      </c>
      <c r="AO448" s="174" t="e">
        <f t="shared" ca="1" si="47"/>
        <v>#REF!</v>
      </c>
      <c r="AP448" s="174" t="e">
        <f t="shared" ca="1" si="48"/>
        <v>#REF!</v>
      </c>
    </row>
    <row r="449" spans="1:42">
      <c r="A449" s="33" t="str">
        <f t="shared" si="49"/>
        <v/>
      </c>
      <c r="I449" s="33"/>
      <c r="J449" s="173" t="str" cm="1">
        <f t="array" aca="1" ref="J449" ca="1">IFERROR(_xlfn.IFS(OR(AL449&lt;&gt;"",AP449&lt;&gt;""),"STCOアサイン済",OR(AN449&lt;&gt;"",AO449&lt;&gt;""),"CHAT中"),"")</f>
        <v/>
      </c>
      <c r="K449" s="33"/>
      <c r="L449" s="33"/>
      <c r="M449" s="33"/>
      <c r="N449" s="33"/>
      <c r="O449" s="33"/>
      <c r="AK449" s="33">
        <f t="shared" si="43"/>
        <v>0</v>
      </c>
      <c r="AL449" s="33" t="e">
        <f t="shared" ca="1" si="44"/>
        <v>#REF!</v>
      </c>
      <c r="AM449" s="33" t="str">
        <f t="shared" si="45"/>
        <v/>
      </c>
      <c r="AN449" s="33" t="e">
        <f t="shared" ca="1" si="46"/>
        <v>#REF!</v>
      </c>
      <c r="AO449" s="174" t="e">
        <f t="shared" ca="1" si="47"/>
        <v>#REF!</v>
      </c>
      <c r="AP449" s="174" t="e">
        <f t="shared" ca="1" si="48"/>
        <v>#REF!</v>
      </c>
    </row>
    <row r="450" spans="1:42">
      <c r="A450" s="33" t="str">
        <f t="shared" si="49"/>
        <v/>
      </c>
      <c r="I450" s="33"/>
      <c r="J450" s="173" t="str" cm="1">
        <f t="array" aca="1" ref="J450" ca="1">IFERROR(_xlfn.IFS(OR(AL450&lt;&gt;"",AP450&lt;&gt;""),"STCOアサイン済",OR(AN450&lt;&gt;"",AO450&lt;&gt;""),"CHAT中"),"")</f>
        <v/>
      </c>
      <c r="K450" s="33"/>
      <c r="L450" s="33"/>
      <c r="M450" s="33"/>
      <c r="N450" s="33"/>
      <c r="O450" s="33"/>
      <c r="AK450" s="33">
        <f t="shared" si="43"/>
        <v>0</v>
      </c>
      <c r="AL450" s="33" t="e">
        <f t="shared" ca="1" si="44"/>
        <v>#REF!</v>
      </c>
      <c r="AM450" s="33" t="str">
        <f t="shared" si="45"/>
        <v/>
      </c>
      <c r="AN450" s="33" t="e">
        <f t="shared" ca="1" si="46"/>
        <v>#REF!</v>
      </c>
      <c r="AO450" s="174" t="e">
        <f t="shared" ca="1" si="47"/>
        <v>#REF!</v>
      </c>
      <c r="AP450" s="174" t="e">
        <f t="shared" ca="1" si="48"/>
        <v>#REF!</v>
      </c>
    </row>
    <row r="451" spans="1:42">
      <c r="A451" s="33" t="str">
        <f t="shared" si="49"/>
        <v/>
      </c>
      <c r="I451" s="33"/>
      <c r="J451" s="173" t="str" cm="1">
        <f t="array" aca="1" ref="J451" ca="1">IFERROR(_xlfn.IFS(OR(AL451&lt;&gt;"",AP451&lt;&gt;""),"STCOアサイン済",OR(AN451&lt;&gt;"",AO451&lt;&gt;""),"CHAT中"),"")</f>
        <v/>
      </c>
      <c r="K451" s="33"/>
      <c r="L451" s="33"/>
      <c r="M451" s="33"/>
      <c r="N451" s="33"/>
      <c r="O451" s="33"/>
      <c r="AK451" s="33">
        <f t="shared" si="43"/>
        <v>0</v>
      </c>
      <c r="AL451" s="33" t="e">
        <f t="shared" ca="1" si="44"/>
        <v>#REF!</v>
      </c>
      <c r="AM451" s="33" t="str">
        <f t="shared" si="45"/>
        <v/>
      </c>
      <c r="AN451" s="33" t="e">
        <f t="shared" ca="1" si="46"/>
        <v>#REF!</v>
      </c>
      <c r="AO451" s="174" t="e">
        <f t="shared" ca="1" si="47"/>
        <v>#REF!</v>
      </c>
      <c r="AP451" s="174" t="e">
        <f t="shared" ca="1" si="48"/>
        <v>#REF!</v>
      </c>
    </row>
    <row r="452" spans="1:42">
      <c r="A452" s="33" t="str">
        <f t="shared" si="49"/>
        <v/>
      </c>
      <c r="I452" s="33"/>
      <c r="J452" s="173" t="str" cm="1">
        <f t="array" aca="1" ref="J452" ca="1">IFERROR(_xlfn.IFS(OR(AL452&lt;&gt;"",AP452&lt;&gt;""),"STCOアサイン済",OR(AN452&lt;&gt;"",AO452&lt;&gt;""),"CHAT中"),"")</f>
        <v/>
      </c>
      <c r="K452" s="33"/>
      <c r="L452" s="33"/>
      <c r="M452" s="33"/>
      <c r="N452" s="33"/>
      <c r="O452" s="33"/>
      <c r="AK452" s="33">
        <f t="shared" si="43"/>
        <v>0</v>
      </c>
      <c r="AL452" s="33" t="e">
        <f t="shared" ca="1" si="44"/>
        <v>#REF!</v>
      </c>
      <c r="AM452" s="33" t="str">
        <f t="shared" si="45"/>
        <v/>
      </c>
      <c r="AN452" s="33" t="e">
        <f t="shared" ca="1" si="46"/>
        <v>#REF!</v>
      </c>
      <c r="AO452" s="174" t="e">
        <f t="shared" ca="1" si="47"/>
        <v>#REF!</v>
      </c>
      <c r="AP452" s="174" t="e">
        <f t="shared" ca="1" si="48"/>
        <v>#REF!</v>
      </c>
    </row>
    <row r="453" spans="1:42">
      <c r="A453" s="33" t="str">
        <f t="shared" si="49"/>
        <v/>
      </c>
      <c r="I453" s="33"/>
      <c r="J453" s="173" t="str" cm="1">
        <f t="array" aca="1" ref="J453" ca="1">IFERROR(_xlfn.IFS(OR(AL453&lt;&gt;"",AP453&lt;&gt;""),"STCOアサイン済",OR(AN453&lt;&gt;"",AO453&lt;&gt;""),"CHAT中"),"")</f>
        <v/>
      </c>
      <c r="K453" s="33"/>
      <c r="L453" s="33"/>
      <c r="M453" s="33"/>
      <c r="N453" s="33"/>
      <c r="O453" s="33"/>
      <c r="AK453" s="33">
        <f t="shared" si="43"/>
        <v>0</v>
      </c>
      <c r="AL453" s="33" t="e">
        <f t="shared" ca="1" si="44"/>
        <v>#REF!</v>
      </c>
      <c r="AM453" s="33" t="str">
        <f t="shared" si="45"/>
        <v/>
      </c>
      <c r="AN453" s="33" t="e">
        <f t="shared" ca="1" si="46"/>
        <v>#REF!</v>
      </c>
      <c r="AO453" s="174" t="e">
        <f t="shared" ca="1" si="47"/>
        <v>#REF!</v>
      </c>
      <c r="AP453" s="174" t="e">
        <f t="shared" ca="1" si="48"/>
        <v>#REF!</v>
      </c>
    </row>
    <row r="454" spans="1:42">
      <c r="A454" s="33" t="str">
        <f t="shared" si="49"/>
        <v/>
      </c>
      <c r="I454" s="33"/>
      <c r="J454" s="173" t="str" cm="1">
        <f t="array" aca="1" ref="J454" ca="1">IFERROR(_xlfn.IFS(OR(AL454&lt;&gt;"",AP454&lt;&gt;""),"STCOアサイン済",OR(AN454&lt;&gt;"",AO454&lt;&gt;""),"CHAT中"),"")</f>
        <v/>
      </c>
      <c r="K454" s="33"/>
      <c r="L454" s="33"/>
      <c r="M454" s="33"/>
      <c r="N454" s="33"/>
      <c r="O454" s="33"/>
      <c r="AK454" s="33">
        <f t="shared" si="43"/>
        <v>0</v>
      </c>
      <c r="AL454" s="33" t="e">
        <f t="shared" ca="1" si="44"/>
        <v>#REF!</v>
      </c>
      <c r="AM454" s="33" t="str">
        <f t="shared" si="45"/>
        <v/>
      </c>
      <c r="AN454" s="33" t="e">
        <f t="shared" ca="1" si="46"/>
        <v>#REF!</v>
      </c>
      <c r="AO454" s="174" t="e">
        <f t="shared" ca="1" si="47"/>
        <v>#REF!</v>
      </c>
      <c r="AP454" s="174" t="e">
        <f t="shared" ca="1" si="48"/>
        <v>#REF!</v>
      </c>
    </row>
    <row r="455" spans="1:42">
      <c r="A455" s="33" t="str">
        <f t="shared" si="49"/>
        <v/>
      </c>
      <c r="I455" s="33"/>
      <c r="J455" s="173" t="str" cm="1">
        <f t="array" aca="1" ref="J455" ca="1">IFERROR(_xlfn.IFS(OR(AL455&lt;&gt;"",AP455&lt;&gt;""),"STCOアサイン済",OR(AN455&lt;&gt;"",AO455&lt;&gt;""),"CHAT中"),"")</f>
        <v/>
      </c>
      <c r="K455" s="33"/>
      <c r="L455" s="33"/>
      <c r="M455" s="33"/>
      <c r="N455" s="33"/>
      <c r="O455" s="33"/>
      <c r="AK455" s="33">
        <f t="shared" si="43"/>
        <v>0</v>
      </c>
      <c r="AL455" s="33" t="e">
        <f t="shared" ca="1" si="44"/>
        <v>#REF!</v>
      </c>
      <c r="AM455" s="33" t="str">
        <f t="shared" si="45"/>
        <v/>
      </c>
      <c r="AN455" s="33" t="e">
        <f t="shared" ca="1" si="46"/>
        <v>#REF!</v>
      </c>
      <c r="AO455" s="174" t="e">
        <f t="shared" ca="1" si="47"/>
        <v>#REF!</v>
      </c>
      <c r="AP455" s="174" t="e">
        <f t="shared" ca="1" si="48"/>
        <v>#REF!</v>
      </c>
    </row>
    <row r="456" spans="1:42">
      <c r="A456" s="33" t="str">
        <f t="shared" ref="A456:A500" si="50">IF(ISBLANK($I456), "", _xlfn.IFS($I456&gt;10, "DS", $I456&lt;=10, "未定"))</f>
        <v/>
      </c>
      <c r="I456" s="33"/>
      <c r="J456" s="173" t="str" cm="1">
        <f t="array" aca="1" ref="J456" ca="1">IFERROR(_xlfn.IFS(OR(AL456&lt;&gt;"",AP456&lt;&gt;""),"STCOアサイン済",OR(AN456&lt;&gt;"",AO456&lt;&gt;""),"CHAT中"),"")</f>
        <v/>
      </c>
      <c r="K456" s="33"/>
      <c r="L456" s="33"/>
      <c r="M456" s="33"/>
      <c r="N456" s="33"/>
      <c r="O456" s="33"/>
      <c r="AK456" s="33">
        <f t="shared" si="43"/>
        <v>0</v>
      </c>
      <c r="AL456" s="33" t="e">
        <f t="shared" ca="1" si="44"/>
        <v>#REF!</v>
      </c>
      <c r="AM456" s="33" t="str">
        <f t="shared" si="45"/>
        <v/>
      </c>
      <c r="AN456" s="33" t="e">
        <f t="shared" ca="1" si="46"/>
        <v>#REF!</v>
      </c>
      <c r="AO456" s="174" t="e">
        <f t="shared" ca="1" si="47"/>
        <v>#REF!</v>
      </c>
      <c r="AP456" s="174" t="e">
        <f t="shared" ca="1" si="48"/>
        <v>#REF!</v>
      </c>
    </row>
    <row r="457" spans="1:42">
      <c r="A457" s="33" t="str">
        <f t="shared" si="50"/>
        <v/>
      </c>
      <c r="I457" s="33"/>
      <c r="J457" s="173" t="str" cm="1">
        <f t="array" aca="1" ref="J457" ca="1">IFERROR(_xlfn.IFS(OR(AL457&lt;&gt;"",AP457&lt;&gt;""),"STCOアサイン済",OR(AN457&lt;&gt;"",AO457&lt;&gt;""),"CHAT中"),"")</f>
        <v/>
      </c>
      <c r="K457" s="33"/>
      <c r="L457" s="33"/>
      <c r="M457" s="33"/>
      <c r="N457" s="33"/>
      <c r="O457" s="33"/>
      <c r="AK457" s="33">
        <f t="shared" ref="AK457:AK501" si="51">C457</f>
        <v>0</v>
      </c>
      <c r="AL457" s="33" t="e">
        <f t="shared" ref="AL457:AL501" ca="1" si="52">IF(SUMIF(INDIRECT($AL$7&amp;"!$AM$5:$AM$800"),C457&amp;$AL$6,INDIRECT($AL$7&amp;"!$AN$5:$AN$800"))&lt;=0,"")</f>
        <v>#REF!</v>
      </c>
      <c r="AM457" s="33" t="str">
        <f t="shared" ref="AM457:AM501" si="53">IF(A457="","",A457)</f>
        <v/>
      </c>
      <c r="AN457" s="33" t="e">
        <f t="shared" ref="AN457:AN501" ca="1" si="54">IF(SUMIF(INDIRECT($AL$7&amp;"!$AM$5:$AM$800"),C457&amp;$AL$6,INDIRECT($AL$7&amp;"!$AO$5:$AO$800"))=0,"")</f>
        <v>#REF!</v>
      </c>
      <c r="AO457" s="174" t="e">
        <f t="shared" ref="AO457:AO501" ca="1" si="55">IF(SUMIF(INDIRECT($AL$7&amp;"!$AR$5:$AR$800"),C457&amp;$AL$6,INDIRECT($AL$7&amp;"!$AO$5:$AO$800"))=0,"")</f>
        <v>#REF!</v>
      </c>
      <c r="AP457" s="174" t="e">
        <f t="shared" ref="AP457:AP501" ca="1" si="56">IF(SUMIF(INDIRECT($AL$7&amp;"!$AR$5:$AR$800"),C457&amp;$AL$6,INDIRECT($AL$7&amp;"!$AN$5:$AN$800"))&lt;=0,"")</f>
        <v>#REF!</v>
      </c>
    </row>
    <row r="458" spans="1:42">
      <c r="A458" s="33" t="str">
        <f t="shared" si="50"/>
        <v/>
      </c>
      <c r="I458" s="33"/>
      <c r="J458" s="173" t="str" cm="1">
        <f t="array" aca="1" ref="J458" ca="1">IFERROR(_xlfn.IFS(OR(AL458&lt;&gt;"",AP458&lt;&gt;""),"STCOアサイン済",OR(AN458&lt;&gt;"",AO458&lt;&gt;""),"CHAT中"),"")</f>
        <v/>
      </c>
      <c r="K458" s="33"/>
      <c r="L458" s="33"/>
      <c r="M458" s="33"/>
      <c r="N458" s="33"/>
      <c r="O458" s="33"/>
      <c r="AK458" s="33">
        <f t="shared" si="51"/>
        <v>0</v>
      </c>
      <c r="AL458" s="33" t="e">
        <f t="shared" ca="1" si="52"/>
        <v>#REF!</v>
      </c>
      <c r="AM458" s="33" t="str">
        <f t="shared" si="53"/>
        <v/>
      </c>
      <c r="AN458" s="33" t="e">
        <f t="shared" ca="1" si="54"/>
        <v>#REF!</v>
      </c>
      <c r="AO458" s="174" t="e">
        <f t="shared" ca="1" si="55"/>
        <v>#REF!</v>
      </c>
      <c r="AP458" s="174" t="e">
        <f t="shared" ca="1" si="56"/>
        <v>#REF!</v>
      </c>
    </row>
    <row r="459" spans="1:42">
      <c r="A459" s="33" t="str">
        <f t="shared" si="50"/>
        <v/>
      </c>
      <c r="I459" s="33"/>
      <c r="J459" s="173" t="str" cm="1">
        <f t="array" aca="1" ref="J459" ca="1">IFERROR(_xlfn.IFS(OR(AL459&lt;&gt;"",AP459&lt;&gt;""),"STCOアサイン済",OR(AN459&lt;&gt;"",AO459&lt;&gt;""),"CHAT中"),"")</f>
        <v/>
      </c>
      <c r="K459" s="33"/>
      <c r="L459" s="33"/>
      <c r="M459" s="33"/>
      <c r="N459" s="33"/>
      <c r="O459" s="33"/>
      <c r="AK459" s="33">
        <f t="shared" si="51"/>
        <v>0</v>
      </c>
      <c r="AL459" s="33" t="e">
        <f t="shared" ca="1" si="52"/>
        <v>#REF!</v>
      </c>
      <c r="AM459" s="33" t="str">
        <f t="shared" si="53"/>
        <v/>
      </c>
      <c r="AN459" s="33" t="e">
        <f t="shared" ca="1" si="54"/>
        <v>#REF!</v>
      </c>
      <c r="AO459" s="174" t="e">
        <f t="shared" ca="1" si="55"/>
        <v>#REF!</v>
      </c>
      <c r="AP459" s="174" t="e">
        <f t="shared" ca="1" si="56"/>
        <v>#REF!</v>
      </c>
    </row>
    <row r="460" spans="1:42">
      <c r="A460" s="33" t="str">
        <f t="shared" si="50"/>
        <v/>
      </c>
      <c r="I460" s="33"/>
      <c r="J460" s="173" t="str" cm="1">
        <f t="array" aca="1" ref="J460" ca="1">IFERROR(_xlfn.IFS(OR(AL460&lt;&gt;"",AP460&lt;&gt;""),"STCOアサイン済",OR(AN460&lt;&gt;"",AO460&lt;&gt;""),"CHAT中"),"")</f>
        <v/>
      </c>
      <c r="K460" s="33"/>
      <c r="L460" s="33"/>
      <c r="M460" s="33"/>
      <c r="N460" s="33"/>
      <c r="O460" s="33"/>
      <c r="AK460" s="33">
        <f t="shared" si="51"/>
        <v>0</v>
      </c>
      <c r="AL460" s="33" t="e">
        <f t="shared" ca="1" si="52"/>
        <v>#REF!</v>
      </c>
      <c r="AM460" s="33" t="str">
        <f t="shared" si="53"/>
        <v/>
      </c>
      <c r="AN460" s="33" t="e">
        <f t="shared" ca="1" si="54"/>
        <v>#REF!</v>
      </c>
      <c r="AO460" s="174" t="e">
        <f t="shared" ca="1" si="55"/>
        <v>#REF!</v>
      </c>
      <c r="AP460" s="174" t="e">
        <f t="shared" ca="1" si="56"/>
        <v>#REF!</v>
      </c>
    </row>
    <row r="461" spans="1:42">
      <c r="A461" s="33" t="str">
        <f t="shared" si="50"/>
        <v/>
      </c>
      <c r="I461" s="33"/>
      <c r="J461" s="173" t="str" cm="1">
        <f t="array" aca="1" ref="J461" ca="1">IFERROR(_xlfn.IFS(OR(AL461&lt;&gt;"",AP461&lt;&gt;""),"STCOアサイン済",OR(AN461&lt;&gt;"",AO461&lt;&gt;""),"CHAT中"),"")</f>
        <v/>
      </c>
      <c r="K461" s="33"/>
      <c r="L461" s="33"/>
      <c r="M461" s="33"/>
      <c r="N461" s="33"/>
      <c r="O461" s="33"/>
      <c r="AK461" s="33">
        <f t="shared" si="51"/>
        <v>0</v>
      </c>
      <c r="AL461" s="33" t="e">
        <f t="shared" ca="1" si="52"/>
        <v>#REF!</v>
      </c>
      <c r="AM461" s="33" t="str">
        <f t="shared" si="53"/>
        <v/>
      </c>
      <c r="AN461" s="33" t="e">
        <f t="shared" ca="1" si="54"/>
        <v>#REF!</v>
      </c>
      <c r="AO461" s="174" t="e">
        <f t="shared" ca="1" si="55"/>
        <v>#REF!</v>
      </c>
      <c r="AP461" s="174" t="e">
        <f t="shared" ca="1" si="56"/>
        <v>#REF!</v>
      </c>
    </row>
    <row r="462" spans="1:42">
      <c r="A462" s="33" t="str">
        <f t="shared" si="50"/>
        <v/>
      </c>
      <c r="I462" s="33"/>
      <c r="J462" s="173" t="str" cm="1">
        <f t="array" aca="1" ref="J462" ca="1">IFERROR(_xlfn.IFS(OR(AL462&lt;&gt;"",AP462&lt;&gt;""),"STCOアサイン済",OR(AN462&lt;&gt;"",AO462&lt;&gt;""),"CHAT中"),"")</f>
        <v/>
      </c>
      <c r="K462" s="33"/>
      <c r="L462" s="33"/>
      <c r="M462" s="33"/>
      <c r="N462" s="33"/>
      <c r="O462" s="33"/>
      <c r="AK462" s="33">
        <f t="shared" si="51"/>
        <v>0</v>
      </c>
      <c r="AL462" s="33" t="e">
        <f t="shared" ca="1" si="52"/>
        <v>#REF!</v>
      </c>
      <c r="AM462" s="33" t="str">
        <f t="shared" si="53"/>
        <v/>
      </c>
      <c r="AN462" s="33" t="e">
        <f t="shared" ca="1" si="54"/>
        <v>#REF!</v>
      </c>
      <c r="AO462" s="174" t="e">
        <f t="shared" ca="1" si="55"/>
        <v>#REF!</v>
      </c>
      <c r="AP462" s="174" t="e">
        <f t="shared" ca="1" si="56"/>
        <v>#REF!</v>
      </c>
    </row>
    <row r="463" spans="1:42">
      <c r="A463" s="33" t="str">
        <f t="shared" si="50"/>
        <v/>
      </c>
      <c r="I463" s="33"/>
      <c r="J463" s="173" t="str" cm="1">
        <f t="array" aca="1" ref="J463" ca="1">IFERROR(_xlfn.IFS(OR(AL463&lt;&gt;"",AP463&lt;&gt;""),"STCOアサイン済",OR(AN463&lt;&gt;"",AO463&lt;&gt;""),"CHAT中"),"")</f>
        <v/>
      </c>
      <c r="K463" s="33"/>
      <c r="L463" s="33"/>
      <c r="M463" s="33"/>
      <c r="N463" s="33"/>
      <c r="O463" s="33"/>
      <c r="AK463" s="33">
        <f t="shared" si="51"/>
        <v>0</v>
      </c>
      <c r="AL463" s="33" t="e">
        <f t="shared" ca="1" si="52"/>
        <v>#REF!</v>
      </c>
      <c r="AM463" s="33" t="str">
        <f t="shared" si="53"/>
        <v/>
      </c>
      <c r="AN463" s="33" t="e">
        <f t="shared" ca="1" si="54"/>
        <v>#REF!</v>
      </c>
      <c r="AO463" s="174" t="e">
        <f t="shared" ca="1" si="55"/>
        <v>#REF!</v>
      </c>
      <c r="AP463" s="174" t="e">
        <f t="shared" ca="1" si="56"/>
        <v>#REF!</v>
      </c>
    </row>
    <row r="464" spans="1:42">
      <c r="A464" s="33" t="str">
        <f t="shared" si="50"/>
        <v/>
      </c>
      <c r="I464" s="33"/>
      <c r="J464" s="173" t="str" cm="1">
        <f t="array" aca="1" ref="J464" ca="1">IFERROR(_xlfn.IFS(OR(AL464&lt;&gt;"",AP464&lt;&gt;""),"STCOアサイン済",OR(AN464&lt;&gt;"",AO464&lt;&gt;""),"CHAT中"),"")</f>
        <v/>
      </c>
      <c r="K464" s="33"/>
      <c r="L464" s="33"/>
      <c r="M464" s="33"/>
      <c r="N464" s="33"/>
      <c r="O464" s="33"/>
      <c r="AK464" s="33">
        <f t="shared" si="51"/>
        <v>0</v>
      </c>
      <c r="AL464" s="33" t="e">
        <f t="shared" ca="1" si="52"/>
        <v>#REF!</v>
      </c>
      <c r="AM464" s="33" t="str">
        <f t="shared" si="53"/>
        <v/>
      </c>
      <c r="AN464" s="33" t="e">
        <f t="shared" ca="1" si="54"/>
        <v>#REF!</v>
      </c>
      <c r="AO464" s="174" t="e">
        <f t="shared" ca="1" si="55"/>
        <v>#REF!</v>
      </c>
      <c r="AP464" s="174" t="e">
        <f t="shared" ca="1" si="56"/>
        <v>#REF!</v>
      </c>
    </row>
    <row r="465" spans="1:42">
      <c r="A465" s="33" t="str">
        <f t="shared" si="50"/>
        <v/>
      </c>
      <c r="I465" s="33"/>
      <c r="J465" s="173" t="str" cm="1">
        <f t="array" aca="1" ref="J465" ca="1">IFERROR(_xlfn.IFS(OR(AL465&lt;&gt;"",AP465&lt;&gt;""),"STCOアサイン済",OR(AN465&lt;&gt;"",AO465&lt;&gt;""),"CHAT中"),"")</f>
        <v/>
      </c>
      <c r="K465" s="33"/>
      <c r="L465" s="33"/>
      <c r="M465" s="33"/>
      <c r="N465" s="33"/>
      <c r="O465" s="33"/>
      <c r="AK465" s="33">
        <f t="shared" si="51"/>
        <v>0</v>
      </c>
      <c r="AL465" s="33" t="e">
        <f t="shared" ca="1" si="52"/>
        <v>#REF!</v>
      </c>
      <c r="AM465" s="33" t="str">
        <f t="shared" si="53"/>
        <v/>
      </c>
      <c r="AN465" s="33" t="e">
        <f t="shared" ca="1" si="54"/>
        <v>#REF!</v>
      </c>
      <c r="AO465" s="174" t="e">
        <f t="shared" ca="1" si="55"/>
        <v>#REF!</v>
      </c>
      <c r="AP465" s="174" t="e">
        <f t="shared" ca="1" si="56"/>
        <v>#REF!</v>
      </c>
    </row>
    <row r="466" spans="1:42">
      <c r="A466" s="33" t="str">
        <f t="shared" si="50"/>
        <v/>
      </c>
      <c r="I466" s="33"/>
      <c r="J466" s="173" t="str" cm="1">
        <f t="array" aca="1" ref="J466" ca="1">IFERROR(_xlfn.IFS(OR(AL466&lt;&gt;"",AP466&lt;&gt;""),"STCOアサイン済",OR(AN466&lt;&gt;"",AO466&lt;&gt;""),"CHAT中"),"")</f>
        <v/>
      </c>
      <c r="K466" s="33"/>
      <c r="L466" s="33"/>
      <c r="M466" s="33"/>
      <c r="N466" s="33"/>
      <c r="O466" s="33"/>
      <c r="AK466" s="33">
        <f t="shared" si="51"/>
        <v>0</v>
      </c>
      <c r="AL466" s="33" t="e">
        <f t="shared" ca="1" si="52"/>
        <v>#REF!</v>
      </c>
      <c r="AM466" s="33" t="str">
        <f t="shared" si="53"/>
        <v/>
      </c>
      <c r="AN466" s="33" t="e">
        <f t="shared" ca="1" si="54"/>
        <v>#REF!</v>
      </c>
      <c r="AO466" s="174" t="e">
        <f t="shared" ca="1" si="55"/>
        <v>#REF!</v>
      </c>
      <c r="AP466" s="174" t="e">
        <f t="shared" ca="1" si="56"/>
        <v>#REF!</v>
      </c>
    </row>
    <row r="467" spans="1:42">
      <c r="A467" s="33" t="str">
        <f t="shared" si="50"/>
        <v/>
      </c>
      <c r="I467" s="33"/>
      <c r="J467" s="173" t="str" cm="1">
        <f t="array" aca="1" ref="J467" ca="1">IFERROR(_xlfn.IFS(OR(AL467&lt;&gt;"",AP467&lt;&gt;""),"STCOアサイン済",OR(AN467&lt;&gt;"",AO467&lt;&gt;""),"CHAT中"),"")</f>
        <v/>
      </c>
      <c r="K467" s="33"/>
      <c r="L467" s="33"/>
      <c r="M467" s="33"/>
      <c r="N467" s="33"/>
      <c r="O467" s="33"/>
      <c r="AK467" s="33">
        <f t="shared" si="51"/>
        <v>0</v>
      </c>
      <c r="AL467" s="33" t="e">
        <f t="shared" ca="1" si="52"/>
        <v>#REF!</v>
      </c>
      <c r="AM467" s="33" t="str">
        <f t="shared" si="53"/>
        <v/>
      </c>
      <c r="AN467" s="33" t="e">
        <f t="shared" ca="1" si="54"/>
        <v>#REF!</v>
      </c>
      <c r="AO467" s="174" t="e">
        <f t="shared" ca="1" si="55"/>
        <v>#REF!</v>
      </c>
      <c r="AP467" s="174" t="e">
        <f t="shared" ca="1" si="56"/>
        <v>#REF!</v>
      </c>
    </row>
    <row r="468" spans="1:42">
      <c r="A468" s="33" t="str">
        <f t="shared" si="50"/>
        <v/>
      </c>
      <c r="I468" s="33"/>
      <c r="J468" s="173" t="str" cm="1">
        <f t="array" aca="1" ref="J468" ca="1">IFERROR(_xlfn.IFS(OR(AL468&lt;&gt;"",AP468&lt;&gt;""),"STCOアサイン済",OR(AN468&lt;&gt;"",AO468&lt;&gt;""),"CHAT中"),"")</f>
        <v/>
      </c>
      <c r="K468" s="33"/>
      <c r="L468" s="33"/>
      <c r="M468" s="33"/>
      <c r="N468" s="33"/>
      <c r="O468" s="33"/>
      <c r="AK468" s="33">
        <f t="shared" si="51"/>
        <v>0</v>
      </c>
      <c r="AL468" s="33" t="e">
        <f t="shared" ca="1" si="52"/>
        <v>#REF!</v>
      </c>
      <c r="AM468" s="33" t="str">
        <f t="shared" si="53"/>
        <v/>
      </c>
      <c r="AN468" s="33" t="e">
        <f t="shared" ca="1" si="54"/>
        <v>#REF!</v>
      </c>
      <c r="AO468" s="174" t="e">
        <f t="shared" ca="1" si="55"/>
        <v>#REF!</v>
      </c>
      <c r="AP468" s="174" t="e">
        <f t="shared" ca="1" si="56"/>
        <v>#REF!</v>
      </c>
    </row>
    <row r="469" spans="1:42">
      <c r="A469" s="33" t="str">
        <f t="shared" si="50"/>
        <v/>
      </c>
      <c r="I469" s="33"/>
      <c r="J469" s="173" t="str" cm="1">
        <f t="array" aca="1" ref="J469" ca="1">IFERROR(_xlfn.IFS(OR(AL469&lt;&gt;"",AP469&lt;&gt;""),"STCOアサイン済",OR(AN469&lt;&gt;"",AO469&lt;&gt;""),"CHAT中"),"")</f>
        <v/>
      </c>
      <c r="K469" s="33"/>
      <c r="L469" s="33"/>
      <c r="M469" s="33"/>
      <c r="N469" s="33"/>
      <c r="O469" s="33"/>
      <c r="AK469" s="33">
        <f t="shared" si="51"/>
        <v>0</v>
      </c>
      <c r="AL469" s="33" t="e">
        <f t="shared" ca="1" si="52"/>
        <v>#REF!</v>
      </c>
      <c r="AM469" s="33" t="str">
        <f t="shared" si="53"/>
        <v/>
      </c>
      <c r="AN469" s="33" t="e">
        <f t="shared" ca="1" si="54"/>
        <v>#REF!</v>
      </c>
      <c r="AO469" s="174" t="e">
        <f t="shared" ca="1" si="55"/>
        <v>#REF!</v>
      </c>
      <c r="AP469" s="174" t="e">
        <f t="shared" ca="1" si="56"/>
        <v>#REF!</v>
      </c>
    </row>
    <row r="470" spans="1:42">
      <c r="A470" s="33" t="str">
        <f t="shared" si="50"/>
        <v/>
      </c>
      <c r="I470" s="33"/>
      <c r="J470" s="173" t="str" cm="1">
        <f t="array" aca="1" ref="J470" ca="1">IFERROR(_xlfn.IFS(OR(AL470&lt;&gt;"",AP470&lt;&gt;""),"STCOアサイン済",OR(AN470&lt;&gt;"",AO470&lt;&gt;""),"CHAT中"),"")</f>
        <v/>
      </c>
      <c r="K470" s="33"/>
      <c r="L470" s="33"/>
      <c r="M470" s="33"/>
      <c r="N470" s="33"/>
      <c r="O470" s="33"/>
      <c r="AK470" s="33">
        <f t="shared" si="51"/>
        <v>0</v>
      </c>
      <c r="AL470" s="33" t="e">
        <f t="shared" ca="1" si="52"/>
        <v>#REF!</v>
      </c>
      <c r="AM470" s="33" t="str">
        <f t="shared" si="53"/>
        <v/>
      </c>
      <c r="AN470" s="33" t="e">
        <f t="shared" ca="1" si="54"/>
        <v>#REF!</v>
      </c>
      <c r="AO470" s="174" t="e">
        <f t="shared" ca="1" si="55"/>
        <v>#REF!</v>
      </c>
      <c r="AP470" s="174" t="e">
        <f t="shared" ca="1" si="56"/>
        <v>#REF!</v>
      </c>
    </row>
    <row r="471" spans="1:42">
      <c r="A471" s="33" t="str">
        <f t="shared" si="50"/>
        <v/>
      </c>
      <c r="I471" s="33"/>
      <c r="J471" s="173" t="str" cm="1">
        <f t="array" aca="1" ref="J471" ca="1">IFERROR(_xlfn.IFS(OR(AL471&lt;&gt;"",AP471&lt;&gt;""),"STCOアサイン済",OR(AN471&lt;&gt;"",AO471&lt;&gt;""),"CHAT中"),"")</f>
        <v/>
      </c>
      <c r="K471" s="33"/>
      <c r="L471" s="33"/>
      <c r="M471" s="33"/>
      <c r="N471" s="33"/>
      <c r="O471" s="33"/>
      <c r="AK471" s="33">
        <f t="shared" si="51"/>
        <v>0</v>
      </c>
      <c r="AL471" s="33" t="e">
        <f t="shared" ca="1" si="52"/>
        <v>#REF!</v>
      </c>
      <c r="AM471" s="33" t="str">
        <f t="shared" si="53"/>
        <v/>
      </c>
      <c r="AN471" s="33" t="e">
        <f t="shared" ca="1" si="54"/>
        <v>#REF!</v>
      </c>
      <c r="AO471" s="174" t="e">
        <f t="shared" ca="1" si="55"/>
        <v>#REF!</v>
      </c>
      <c r="AP471" s="174" t="e">
        <f t="shared" ca="1" si="56"/>
        <v>#REF!</v>
      </c>
    </row>
    <row r="472" spans="1:42">
      <c r="A472" s="33" t="str">
        <f t="shared" si="50"/>
        <v/>
      </c>
      <c r="I472" s="33"/>
      <c r="J472" s="173" t="str" cm="1">
        <f t="array" aca="1" ref="J472" ca="1">IFERROR(_xlfn.IFS(OR(AL472&lt;&gt;"",AP472&lt;&gt;""),"STCOアサイン済",OR(AN472&lt;&gt;"",AO472&lt;&gt;""),"CHAT中"),"")</f>
        <v/>
      </c>
      <c r="K472" s="33"/>
      <c r="L472" s="33"/>
      <c r="M472" s="33"/>
      <c r="N472" s="33"/>
      <c r="O472" s="33"/>
      <c r="AK472" s="33">
        <f t="shared" si="51"/>
        <v>0</v>
      </c>
      <c r="AL472" s="33" t="e">
        <f t="shared" ca="1" si="52"/>
        <v>#REF!</v>
      </c>
      <c r="AM472" s="33" t="str">
        <f t="shared" si="53"/>
        <v/>
      </c>
      <c r="AN472" s="33" t="e">
        <f t="shared" ca="1" si="54"/>
        <v>#REF!</v>
      </c>
      <c r="AO472" s="174" t="e">
        <f t="shared" ca="1" si="55"/>
        <v>#REF!</v>
      </c>
      <c r="AP472" s="174" t="e">
        <f t="shared" ca="1" si="56"/>
        <v>#REF!</v>
      </c>
    </row>
    <row r="473" spans="1:42">
      <c r="A473" s="33" t="str">
        <f t="shared" si="50"/>
        <v/>
      </c>
      <c r="I473" s="33"/>
      <c r="J473" s="173" t="str" cm="1">
        <f t="array" aca="1" ref="J473" ca="1">IFERROR(_xlfn.IFS(OR(AL473&lt;&gt;"",AP473&lt;&gt;""),"STCOアサイン済",OR(AN473&lt;&gt;"",AO473&lt;&gt;""),"CHAT中"),"")</f>
        <v/>
      </c>
      <c r="K473" s="33"/>
      <c r="L473" s="33"/>
      <c r="M473" s="33"/>
      <c r="N473" s="33"/>
      <c r="O473" s="33"/>
      <c r="AK473" s="33">
        <f t="shared" si="51"/>
        <v>0</v>
      </c>
      <c r="AL473" s="33" t="e">
        <f t="shared" ca="1" si="52"/>
        <v>#REF!</v>
      </c>
      <c r="AM473" s="33" t="str">
        <f t="shared" si="53"/>
        <v/>
      </c>
      <c r="AN473" s="33" t="e">
        <f t="shared" ca="1" si="54"/>
        <v>#REF!</v>
      </c>
      <c r="AO473" s="174" t="e">
        <f t="shared" ca="1" si="55"/>
        <v>#REF!</v>
      </c>
      <c r="AP473" s="174" t="e">
        <f t="shared" ca="1" si="56"/>
        <v>#REF!</v>
      </c>
    </row>
    <row r="474" spans="1:42">
      <c r="A474" s="33" t="str">
        <f t="shared" si="50"/>
        <v/>
      </c>
      <c r="I474" s="33"/>
      <c r="J474" s="173" t="str" cm="1">
        <f t="array" aca="1" ref="J474" ca="1">IFERROR(_xlfn.IFS(OR(AL474&lt;&gt;"",AP474&lt;&gt;""),"STCOアサイン済",OR(AN474&lt;&gt;"",AO474&lt;&gt;""),"CHAT中"),"")</f>
        <v/>
      </c>
      <c r="K474" s="33"/>
      <c r="L474" s="33"/>
      <c r="M474" s="33"/>
      <c r="N474" s="33"/>
      <c r="O474" s="33"/>
      <c r="AK474" s="33">
        <f t="shared" si="51"/>
        <v>0</v>
      </c>
      <c r="AL474" s="33" t="e">
        <f t="shared" ca="1" si="52"/>
        <v>#REF!</v>
      </c>
      <c r="AM474" s="33" t="str">
        <f t="shared" si="53"/>
        <v/>
      </c>
      <c r="AN474" s="33" t="e">
        <f t="shared" ca="1" si="54"/>
        <v>#REF!</v>
      </c>
      <c r="AO474" s="174" t="e">
        <f t="shared" ca="1" si="55"/>
        <v>#REF!</v>
      </c>
      <c r="AP474" s="174" t="e">
        <f t="shared" ca="1" si="56"/>
        <v>#REF!</v>
      </c>
    </row>
    <row r="475" spans="1:42">
      <c r="A475" s="33" t="str">
        <f t="shared" si="50"/>
        <v/>
      </c>
      <c r="I475" s="33"/>
      <c r="J475" s="173" t="str" cm="1">
        <f t="array" aca="1" ref="J475" ca="1">IFERROR(_xlfn.IFS(OR(AL475&lt;&gt;"",AP475&lt;&gt;""),"STCOアサイン済",OR(AN475&lt;&gt;"",AO475&lt;&gt;""),"CHAT中"),"")</f>
        <v/>
      </c>
      <c r="K475" s="33"/>
      <c r="L475" s="33"/>
      <c r="M475" s="33"/>
      <c r="N475" s="33"/>
      <c r="O475" s="33"/>
      <c r="AK475" s="33">
        <f t="shared" si="51"/>
        <v>0</v>
      </c>
      <c r="AL475" s="33" t="e">
        <f t="shared" ca="1" si="52"/>
        <v>#REF!</v>
      </c>
      <c r="AM475" s="33" t="str">
        <f t="shared" si="53"/>
        <v/>
      </c>
      <c r="AN475" s="33" t="e">
        <f t="shared" ca="1" si="54"/>
        <v>#REF!</v>
      </c>
      <c r="AO475" s="174" t="e">
        <f t="shared" ca="1" si="55"/>
        <v>#REF!</v>
      </c>
      <c r="AP475" s="174" t="e">
        <f t="shared" ca="1" si="56"/>
        <v>#REF!</v>
      </c>
    </row>
    <row r="476" spans="1:42">
      <c r="A476" s="33" t="str">
        <f t="shared" si="50"/>
        <v/>
      </c>
      <c r="I476" s="33"/>
      <c r="J476" s="173" t="str" cm="1">
        <f t="array" aca="1" ref="J476" ca="1">IFERROR(_xlfn.IFS(OR(AL476&lt;&gt;"",AP476&lt;&gt;""),"STCOアサイン済",OR(AN476&lt;&gt;"",AO476&lt;&gt;""),"CHAT中"),"")</f>
        <v/>
      </c>
      <c r="K476" s="33"/>
      <c r="L476" s="33"/>
      <c r="M476" s="33"/>
      <c r="N476" s="33"/>
      <c r="O476" s="33"/>
      <c r="AK476" s="33">
        <f t="shared" si="51"/>
        <v>0</v>
      </c>
      <c r="AL476" s="33" t="e">
        <f t="shared" ca="1" si="52"/>
        <v>#REF!</v>
      </c>
      <c r="AM476" s="33" t="str">
        <f t="shared" si="53"/>
        <v/>
      </c>
      <c r="AN476" s="33" t="e">
        <f t="shared" ca="1" si="54"/>
        <v>#REF!</v>
      </c>
      <c r="AO476" s="174" t="e">
        <f t="shared" ca="1" si="55"/>
        <v>#REF!</v>
      </c>
      <c r="AP476" s="174" t="e">
        <f t="shared" ca="1" si="56"/>
        <v>#REF!</v>
      </c>
    </row>
    <row r="477" spans="1:42">
      <c r="A477" s="33" t="str">
        <f t="shared" si="50"/>
        <v/>
      </c>
      <c r="I477" s="33"/>
      <c r="J477" s="173" t="str" cm="1">
        <f t="array" aca="1" ref="J477" ca="1">IFERROR(_xlfn.IFS(OR(AL477&lt;&gt;"",AP477&lt;&gt;""),"STCOアサイン済",OR(AN477&lt;&gt;"",AO477&lt;&gt;""),"CHAT中"),"")</f>
        <v/>
      </c>
      <c r="K477" s="33"/>
      <c r="L477" s="33"/>
      <c r="M477" s="33"/>
      <c r="N477" s="33"/>
      <c r="O477" s="33"/>
      <c r="AK477" s="33">
        <f t="shared" si="51"/>
        <v>0</v>
      </c>
      <c r="AL477" s="33" t="e">
        <f t="shared" ca="1" si="52"/>
        <v>#REF!</v>
      </c>
      <c r="AM477" s="33" t="str">
        <f t="shared" si="53"/>
        <v/>
      </c>
      <c r="AN477" s="33" t="e">
        <f t="shared" ca="1" si="54"/>
        <v>#REF!</v>
      </c>
      <c r="AO477" s="174" t="e">
        <f t="shared" ca="1" si="55"/>
        <v>#REF!</v>
      </c>
      <c r="AP477" s="174" t="e">
        <f t="shared" ca="1" si="56"/>
        <v>#REF!</v>
      </c>
    </row>
    <row r="478" spans="1:42">
      <c r="A478" s="33" t="str">
        <f t="shared" si="50"/>
        <v/>
      </c>
      <c r="I478" s="33"/>
      <c r="J478" s="173" t="str" cm="1">
        <f t="array" aca="1" ref="J478" ca="1">IFERROR(_xlfn.IFS(OR(AL478&lt;&gt;"",AP478&lt;&gt;""),"STCOアサイン済",OR(AN478&lt;&gt;"",AO478&lt;&gt;""),"CHAT中"),"")</f>
        <v/>
      </c>
      <c r="K478" s="33"/>
      <c r="L478" s="33"/>
      <c r="M478" s="33"/>
      <c r="N478" s="33"/>
      <c r="O478" s="33"/>
      <c r="AK478" s="33">
        <f t="shared" si="51"/>
        <v>0</v>
      </c>
      <c r="AL478" s="33" t="e">
        <f t="shared" ca="1" si="52"/>
        <v>#REF!</v>
      </c>
      <c r="AM478" s="33" t="str">
        <f t="shared" si="53"/>
        <v/>
      </c>
      <c r="AN478" s="33" t="e">
        <f t="shared" ca="1" si="54"/>
        <v>#REF!</v>
      </c>
      <c r="AO478" s="174" t="e">
        <f t="shared" ca="1" si="55"/>
        <v>#REF!</v>
      </c>
      <c r="AP478" s="174" t="e">
        <f t="shared" ca="1" si="56"/>
        <v>#REF!</v>
      </c>
    </row>
    <row r="479" spans="1:42">
      <c r="A479" s="33" t="str">
        <f t="shared" si="50"/>
        <v/>
      </c>
      <c r="I479" s="33"/>
      <c r="J479" s="173" t="str" cm="1">
        <f t="array" aca="1" ref="J479" ca="1">IFERROR(_xlfn.IFS(OR(AL479&lt;&gt;"",AP479&lt;&gt;""),"STCOアサイン済",OR(AN479&lt;&gt;"",AO479&lt;&gt;""),"CHAT中"),"")</f>
        <v/>
      </c>
      <c r="K479" s="33"/>
      <c r="L479" s="33"/>
      <c r="M479" s="33"/>
      <c r="N479" s="33"/>
      <c r="O479" s="33"/>
      <c r="AK479" s="33">
        <f t="shared" si="51"/>
        <v>0</v>
      </c>
      <c r="AL479" s="33" t="e">
        <f t="shared" ca="1" si="52"/>
        <v>#REF!</v>
      </c>
      <c r="AM479" s="33" t="str">
        <f t="shared" si="53"/>
        <v/>
      </c>
      <c r="AN479" s="33" t="e">
        <f t="shared" ca="1" si="54"/>
        <v>#REF!</v>
      </c>
      <c r="AO479" s="174" t="e">
        <f t="shared" ca="1" si="55"/>
        <v>#REF!</v>
      </c>
      <c r="AP479" s="174" t="e">
        <f t="shared" ca="1" si="56"/>
        <v>#REF!</v>
      </c>
    </row>
    <row r="480" spans="1:42">
      <c r="A480" s="33" t="str">
        <f t="shared" si="50"/>
        <v/>
      </c>
      <c r="I480" s="33"/>
      <c r="J480" s="173" t="str" cm="1">
        <f t="array" aca="1" ref="J480" ca="1">IFERROR(_xlfn.IFS(OR(AL480&lt;&gt;"",AP480&lt;&gt;""),"STCOアサイン済",OR(AN480&lt;&gt;"",AO480&lt;&gt;""),"CHAT中"),"")</f>
        <v/>
      </c>
      <c r="K480" s="33"/>
      <c r="L480" s="33"/>
      <c r="M480" s="33"/>
      <c r="N480" s="33"/>
      <c r="O480" s="33"/>
      <c r="AK480" s="33">
        <f t="shared" si="51"/>
        <v>0</v>
      </c>
      <c r="AL480" s="33" t="e">
        <f t="shared" ca="1" si="52"/>
        <v>#REF!</v>
      </c>
      <c r="AM480" s="33" t="str">
        <f t="shared" si="53"/>
        <v/>
      </c>
      <c r="AN480" s="33" t="e">
        <f t="shared" ca="1" si="54"/>
        <v>#REF!</v>
      </c>
      <c r="AO480" s="174" t="e">
        <f t="shared" ca="1" si="55"/>
        <v>#REF!</v>
      </c>
      <c r="AP480" s="174" t="e">
        <f t="shared" ca="1" si="56"/>
        <v>#REF!</v>
      </c>
    </row>
    <row r="481" spans="1:42">
      <c r="A481" s="33" t="str">
        <f t="shared" si="50"/>
        <v/>
      </c>
      <c r="I481" s="33"/>
      <c r="J481" s="173" t="str" cm="1">
        <f t="array" aca="1" ref="J481" ca="1">IFERROR(_xlfn.IFS(OR(AL481&lt;&gt;"",AP481&lt;&gt;""),"STCOアサイン済",OR(AN481&lt;&gt;"",AO481&lt;&gt;""),"CHAT中"),"")</f>
        <v/>
      </c>
      <c r="K481" s="33"/>
      <c r="L481" s="33"/>
      <c r="M481" s="33"/>
      <c r="N481" s="33"/>
      <c r="O481" s="33"/>
      <c r="AK481" s="33">
        <f t="shared" si="51"/>
        <v>0</v>
      </c>
      <c r="AL481" s="33" t="e">
        <f t="shared" ca="1" si="52"/>
        <v>#REF!</v>
      </c>
      <c r="AM481" s="33" t="str">
        <f t="shared" si="53"/>
        <v/>
      </c>
      <c r="AN481" s="33" t="e">
        <f t="shared" ca="1" si="54"/>
        <v>#REF!</v>
      </c>
      <c r="AO481" s="174" t="e">
        <f t="shared" ca="1" si="55"/>
        <v>#REF!</v>
      </c>
      <c r="AP481" s="174" t="e">
        <f t="shared" ca="1" si="56"/>
        <v>#REF!</v>
      </c>
    </row>
    <row r="482" spans="1:42">
      <c r="A482" s="33" t="str">
        <f t="shared" si="50"/>
        <v/>
      </c>
      <c r="I482" s="33"/>
      <c r="J482" s="173" t="str" cm="1">
        <f t="array" aca="1" ref="J482" ca="1">IFERROR(_xlfn.IFS(OR(AL482&lt;&gt;"",AP482&lt;&gt;""),"STCOアサイン済",OR(AN482&lt;&gt;"",AO482&lt;&gt;""),"CHAT中"),"")</f>
        <v/>
      </c>
      <c r="K482" s="33"/>
      <c r="L482" s="33"/>
      <c r="M482" s="33"/>
      <c r="N482" s="33"/>
      <c r="O482" s="33"/>
      <c r="AK482" s="33">
        <f t="shared" si="51"/>
        <v>0</v>
      </c>
      <c r="AL482" s="33" t="e">
        <f t="shared" ca="1" si="52"/>
        <v>#REF!</v>
      </c>
      <c r="AM482" s="33" t="str">
        <f t="shared" si="53"/>
        <v/>
      </c>
      <c r="AN482" s="33" t="e">
        <f t="shared" ca="1" si="54"/>
        <v>#REF!</v>
      </c>
      <c r="AO482" s="174" t="e">
        <f t="shared" ca="1" si="55"/>
        <v>#REF!</v>
      </c>
      <c r="AP482" s="174" t="e">
        <f t="shared" ca="1" si="56"/>
        <v>#REF!</v>
      </c>
    </row>
    <row r="483" spans="1:42">
      <c r="A483" s="33" t="str">
        <f t="shared" si="50"/>
        <v/>
      </c>
      <c r="I483" s="33"/>
      <c r="J483" s="173" t="str" cm="1">
        <f t="array" aca="1" ref="J483" ca="1">IFERROR(_xlfn.IFS(OR(AL483&lt;&gt;"",AP483&lt;&gt;""),"STCOアサイン済",OR(AN483&lt;&gt;"",AO483&lt;&gt;""),"CHAT中"),"")</f>
        <v/>
      </c>
      <c r="K483" s="33"/>
      <c r="L483" s="33"/>
      <c r="M483" s="33"/>
      <c r="N483" s="33"/>
      <c r="O483" s="33"/>
      <c r="AK483" s="33">
        <f t="shared" si="51"/>
        <v>0</v>
      </c>
      <c r="AL483" s="33" t="e">
        <f t="shared" ca="1" si="52"/>
        <v>#REF!</v>
      </c>
      <c r="AM483" s="33" t="str">
        <f t="shared" si="53"/>
        <v/>
      </c>
      <c r="AN483" s="33" t="e">
        <f t="shared" ca="1" si="54"/>
        <v>#REF!</v>
      </c>
      <c r="AO483" s="174" t="e">
        <f t="shared" ca="1" si="55"/>
        <v>#REF!</v>
      </c>
      <c r="AP483" s="174" t="e">
        <f t="shared" ca="1" si="56"/>
        <v>#REF!</v>
      </c>
    </row>
    <row r="484" spans="1:42">
      <c r="A484" s="33" t="str">
        <f t="shared" si="50"/>
        <v/>
      </c>
      <c r="I484" s="33"/>
      <c r="J484" s="173" t="str" cm="1">
        <f t="array" aca="1" ref="J484" ca="1">IFERROR(_xlfn.IFS(OR(AL484&lt;&gt;"",AP484&lt;&gt;""),"STCOアサイン済",OR(AN484&lt;&gt;"",AO484&lt;&gt;""),"CHAT中"),"")</f>
        <v/>
      </c>
      <c r="K484" s="33"/>
      <c r="L484" s="33"/>
      <c r="M484" s="33"/>
      <c r="N484" s="33"/>
      <c r="O484" s="33"/>
      <c r="AK484" s="33">
        <f t="shared" si="51"/>
        <v>0</v>
      </c>
      <c r="AL484" s="33" t="e">
        <f t="shared" ca="1" si="52"/>
        <v>#REF!</v>
      </c>
      <c r="AM484" s="33" t="str">
        <f t="shared" si="53"/>
        <v/>
      </c>
      <c r="AN484" s="33" t="e">
        <f t="shared" ca="1" si="54"/>
        <v>#REF!</v>
      </c>
      <c r="AO484" s="174" t="e">
        <f t="shared" ca="1" si="55"/>
        <v>#REF!</v>
      </c>
      <c r="AP484" s="174" t="e">
        <f t="shared" ca="1" si="56"/>
        <v>#REF!</v>
      </c>
    </row>
    <row r="485" spans="1:42">
      <c r="A485" s="33" t="str">
        <f t="shared" si="50"/>
        <v/>
      </c>
      <c r="I485" s="33"/>
      <c r="J485" s="173" t="str" cm="1">
        <f t="array" aca="1" ref="J485" ca="1">IFERROR(_xlfn.IFS(OR(AL485&lt;&gt;"",AP485&lt;&gt;""),"STCOアサイン済",OR(AN485&lt;&gt;"",AO485&lt;&gt;""),"CHAT中"),"")</f>
        <v/>
      </c>
      <c r="K485" s="33"/>
      <c r="L485" s="33"/>
      <c r="M485" s="33"/>
      <c r="N485" s="33"/>
      <c r="O485" s="33"/>
      <c r="AK485" s="33">
        <f t="shared" si="51"/>
        <v>0</v>
      </c>
      <c r="AL485" s="33" t="e">
        <f t="shared" ca="1" si="52"/>
        <v>#REF!</v>
      </c>
      <c r="AM485" s="33" t="str">
        <f t="shared" si="53"/>
        <v/>
      </c>
      <c r="AN485" s="33" t="e">
        <f t="shared" ca="1" si="54"/>
        <v>#REF!</v>
      </c>
      <c r="AO485" s="174" t="e">
        <f t="shared" ca="1" si="55"/>
        <v>#REF!</v>
      </c>
      <c r="AP485" s="174" t="e">
        <f t="shared" ca="1" si="56"/>
        <v>#REF!</v>
      </c>
    </row>
    <row r="486" spans="1:42">
      <c r="A486" s="33" t="str">
        <f t="shared" si="50"/>
        <v/>
      </c>
      <c r="I486" s="33"/>
      <c r="J486" s="173" t="str" cm="1">
        <f t="array" aca="1" ref="J486" ca="1">IFERROR(_xlfn.IFS(OR(AL486&lt;&gt;"",AP486&lt;&gt;""),"STCOアサイン済",OR(AN486&lt;&gt;"",AO486&lt;&gt;""),"CHAT中"),"")</f>
        <v/>
      </c>
      <c r="K486" s="33"/>
      <c r="L486" s="33"/>
      <c r="M486" s="33"/>
      <c r="N486" s="33"/>
      <c r="O486" s="33"/>
      <c r="AK486" s="33">
        <f t="shared" si="51"/>
        <v>0</v>
      </c>
      <c r="AL486" s="33" t="e">
        <f t="shared" ca="1" si="52"/>
        <v>#REF!</v>
      </c>
      <c r="AM486" s="33" t="str">
        <f t="shared" si="53"/>
        <v/>
      </c>
      <c r="AN486" s="33" t="e">
        <f t="shared" ca="1" si="54"/>
        <v>#REF!</v>
      </c>
      <c r="AO486" s="174" t="e">
        <f t="shared" ca="1" si="55"/>
        <v>#REF!</v>
      </c>
      <c r="AP486" s="174" t="e">
        <f t="shared" ca="1" si="56"/>
        <v>#REF!</v>
      </c>
    </row>
    <row r="487" spans="1:42">
      <c r="A487" s="33" t="str">
        <f t="shared" si="50"/>
        <v/>
      </c>
      <c r="I487" s="33"/>
      <c r="J487" s="173" t="str" cm="1">
        <f t="array" aca="1" ref="J487" ca="1">IFERROR(_xlfn.IFS(OR(AL487&lt;&gt;"",AP487&lt;&gt;""),"STCOアサイン済",OR(AN487&lt;&gt;"",AO487&lt;&gt;""),"CHAT中"),"")</f>
        <v/>
      </c>
      <c r="K487" s="33"/>
      <c r="L487" s="33"/>
      <c r="M487" s="33"/>
      <c r="N487" s="33"/>
      <c r="O487" s="33"/>
      <c r="AK487" s="33">
        <f t="shared" si="51"/>
        <v>0</v>
      </c>
      <c r="AL487" s="33" t="e">
        <f t="shared" ca="1" si="52"/>
        <v>#REF!</v>
      </c>
      <c r="AM487" s="33" t="str">
        <f t="shared" si="53"/>
        <v/>
      </c>
      <c r="AN487" s="33" t="e">
        <f t="shared" ca="1" si="54"/>
        <v>#REF!</v>
      </c>
      <c r="AO487" s="174" t="e">
        <f t="shared" ca="1" si="55"/>
        <v>#REF!</v>
      </c>
      <c r="AP487" s="174" t="e">
        <f t="shared" ca="1" si="56"/>
        <v>#REF!</v>
      </c>
    </row>
    <row r="488" spans="1:42">
      <c r="A488" s="33" t="str">
        <f t="shared" si="50"/>
        <v/>
      </c>
      <c r="I488" s="33"/>
      <c r="J488" s="173" t="str" cm="1">
        <f t="array" aca="1" ref="J488" ca="1">IFERROR(_xlfn.IFS(OR(AL488&lt;&gt;"",AP488&lt;&gt;""),"STCOアサイン済",OR(AN488&lt;&gt;"",AO488&lt;&gt;""),"CHAT中"),"")</f>
        <v/>
      </c>
      <c r="K488" s="33"/>
      <c r="L488" s="33"/>
      <c r="M488" s="33"/>
      <c r="N488" s="33"/>
      <c r="O488" s="33"/>
      <c r="AK488" s="33">
        <f t="shared" si="51"/>
        <v>0</v>
      </c>
      <c r="AL488" s="33" t="e">
        <f t="shared" ca="1" si="52"/>
        <v>#REF!</v>
      </c>
      <c r="AM488" s="33" t="str">
        <f t="shared" si="53"/>
        <v/>
      </c>
      <c r="AN488" s="33" t="e">
        <f t="shared" ca="1" si="54"/>
        <v>#REF!</v>
      </c>
      <c r="AO488" s="174" t="e">
        <f t="shared" ca="1" si="55"/>
        <v>#REF!</v>
      </c>
      <c r="AP488" s="174" t="e">
        <f t="shared" ca="1" si="56"/>
        <v>#REF!</v>
      </c>
    </row>
    <row r="489" spans="1:42">
      <c r="A489" s="33" t="str">
        <f t="shared" si="50"/>
        <v/>
      </c>
      <c r="I489" s="33"/>
      <c r="J489" s="173" t="str" cm="1">
        <f t="array" aca="1" ref="J489" ca="1">IFERROR(_xlfn.IFS(OR(AL489&lt;&gt;"",AP489&lt;&gt;""),"STCOアサイン済",OR(AN489&lt;&gt;"",AO489&lt;&gt;""),"CHAT中"),"")</f>
        <v/>
      </c>
      <c r="K489" s="33"/>
      <c r="L489" s="33"/>
      <c r="M489" s="33"/>
      <c r="N489" s="33"/>
      <c r="O489" s="33"/>
      <c r="AK489" s="33">
        <f t="shared" si="51"/>
        <v>0</v>
      </c>
      <c r="AL489" s="33" t="e">
        <f t="shared" ca="1" si="52"/>
        <v>#REF!</v>
      </c>
      <c r="AM489" s="33" t="str">
        <f t="shared" si="53"/>
        <v/>
      </c>
      <c r="AN489" s="33" t="e">
        <f t="shared" ca="1" si="54"/>
        <v>#REF!</v>
      </c>
      <c r="AO489" s="174" t="e">
        <f t="shared" ca="1" si="55"/>
        <v>#REF!</v>
      </c>
      <c r="AP489" s="174" t="e">
        <f t="shared" ca="1" si="56"/>
        <v>#REF!</v>
      </c>
    </row>
    <row r="490" spans="1:42">
      <c r="A490" s="33" t="str">
        <f t="shared" si="50"/>
        <v/>
      </c>
      <c r="I490" s="33"/>
      <c r="J490" s="173" t="str" cm="1">
        <f t="array" aca="1" ref="J490" ca="1">IFERROR(_xlfn.IFS(OR(AL490&lt;&gt;"",AP490&lt;&gt;""),"STCOアサイン済",OR(AN490&lt;&gt;"",AO490&lt;&gt;""),"CHAT中"),"")</f>
        <v/>
      </c>
      <c r="K490" s="33"/>
      <c r="L490" s="33"/>
      <c r="M490" s="33"/>
      <c r="N490" s="33"/>
      <c r="O490" s="33"/>
      <c r="AK490" s="33">
        <f t="shared" si="51"/>
        <v>0</v>
      </c>
      <c r="AL490" s="33" t="e">
        <f t="shared" ca="1" si="52"/>
        <v>#REF!</v>
      </c>
      <c r="AM490" s="33" t="str">
        <f t="shared" si="53"/>
        <v/>
      </c>
      <c r="AN490" s="33" t="e">
        <f t="shared" ca="1" si="54"/>
        <v>#REF!</v>
      </c>
      <c r="AO490" s="174" t="e">
        <f t="shared" ca="1" si="55"/>
        <v>#REF!</v>
      </c>
      <c r="AP490" s="174" t="e">
        <f t="shared" ca="1" si="56"/>
        <v>#REF!</v>
      </c>
    </row>
    <row r="491" spans="1:42">
      <c r="A491" s="33" t="str">
        <f t="shared" si="50"/>
        <v/>
      </c>
      <c r="I491" s="33"/>
      <c r="J491" s="173" t="str" cm="1">
        <f t="array" aca="1" ref="J491" ca="1">IFERROR(_xlfn.IFS(OR(AL491&lt;&gt;"",AP491&lt;&gt;""),"STCOアサイン済",OR(AN491&lt;&gt;"",AO491&lt;&gt;""),"CHAT中"),"")</f>
        <v/>
      </c>
      <c r="K491" s="33"/>
      <c r="L491" s="33"/>
      <c r="M491" s="33"/>
      <c r="N491" s="33"/>
      <c r="O491" s="33"/>
      <c r="AK491" s="33">
        <f t="shared" si="51"/>
        <v>0</v>
      </c>
      <c r="AL491" s="33" t="e">
        <f t="shared" ca="1" si="52"/>
        <v>#REF!</v>
      </c>
      <c r="AM491" s="33" t="str">
        <f t="shared" si="53"/>
        <v/>
      </c>
      <c r="AN491" s="33" t="e">
        <f t="shared" ca="1" si="54"/>
        <v>#REF!</v>
      </c>
      <c r="AO491" s="174" t="e">
        <f t="shared" ca="1" si="55"/>
        <v>#REF!</v>
      </c>
      <c r="AP491" s="174" t="e">
        <f t="shared" ca="1" si="56"/>
        <v>#REF!</v>
      </c>
    </row>
    <row r="492" spans="1:42">
      <c r="A492" s="33" t="str">
        <f t="shared" si="50"/>
        <v/>
      </c>
      <c r="I492" s="33"/>
      <c r="J492" s="173" t="str" cm="1">
        <f t="array" aca="1" ref="J492" ca="1">IFERROR(_xlfn.IFS(OR(AL492&lt;&gt;"",AP492&lt;&gt;""),"STCOアサイン済",OR(AN492&lt;&gt;"",AO492&lt;&gt;""),"CHAT中"),"")</f>
        <v/>
      </c>
      <c r="K492" s="33"/>
      <c r="L492" s="33"/>
      <c r="M492" s="33"/>
      <c r="N492" s="33"/>
      <c r="O492" s="33"/>
      <c r="AK492" s="33">
        <f t="shared" si="51"/>
        <v>0</v>
      </c>
      <c r="AL492" s="33" t="e">
        <f t="shared" ca="1" si="52"/>
        <v>#REF!</v>
      </c>
      <c r="AM492" s="33" t="str">
        <f t="shared" si="53"/>
        <v/>
      </c>
      <c r="AN492" s="33" t="e">
        <f t="shared" ca="1" si="54"/>
        <v>#REF!</v>
      </c>
      <c r="AO492" s="174" t="e">
        <f t="shared" ca="1" si="55"/>
        <v>#REF!</v>
      </c>
      <c r="AP492" s="174" t="e">
        <f t="shared" ca="1" si="56"/>
        <v>#REF!</v>
      </c>
    </row>
    <row r="493" spans="1:42">
      <c r="A493" s="33" t="str">
        <f t="shared" si="50"/>
        <v/>
      </c>
      <c r="I493" s="33"/>
      <c r="J493" s="173" t="str" cm="1">
        <f t="array" aca="1" ref="J493" ca="1">IFERROR(_xlfn.IFS(OR(AL493&lt;&gt;"",AP493&lt;&gt;""),"STCOアサイン済",OR(AN493&lt;&gt;"",AO493&lt;&gt;""),"CHAT中"),"")</f>
        <v/>
      </c>
      <c r="K493" s="33"/>
      <c r="L493" s="33"/>
      <c r="M493" s="33"/>
      <c r="N493" s="33"/>
      <c r="O493" s="33"/>
      <c r="AK493" s="33">
        <f t="shared" si="51"/>
        <v>0</v>
      </c>
      <c r="AL493" s="33" t="e">
        <f t="shared" ca="1" si="52"/>
        <v>#REF!</v>
      </c>
      <c r="AM493" s="33" t="str">
        <f t="shared" si="53"/>
        <v/>
      </c>
      <c r="AN493" s="33" t="e">
        <f t="shared" ca="1" si="54"/>
        <v>#REF!</v>
      </c>
      <c r="AO493" s="174" t="e">
        <f t="shared" ca="1" si="55"/>
        <v>#REF!</v>
      </c>
      <c r="AP493" s="174" t="e">
        <f t="shared" ca="1" si="56"/>
        <v>#REF!</v>
      </c>
    </row>
    <row r="494" spans="1:42">
      <c r="A494" s="33" t="str">
        <f t="shared" si="50"/>
        <v/>
      </c>
      <c r="I494" s="33"/>
      <c r="J494" s="173" t="str" cm="1">
        <f t="array" aca="1" ref="J494" ca="1">IFERROR(_xlfn.IFS(OR(AL494&lt;&gt;"",AP494&lt;&gt;""),"STCOアサイン済",OR(AN494&lt;&gt;"",AO494&lt;&gt;""),"CHAT中"),"")</f>
        <v/>
      </c>
      <c r="K494" s="33"/>
      <c r="L494" s="33"/>
      <c r="M494" s="33"/>
      <c r="N494" s="33"/>
      <c r="O494" s="33"/>
      <c r="AK494" s="33">
        <f t="shared" si="51"/>
        <v>0</v>
      </c>
      <c r="AL494" s="33" t="e">
        <f t="shared" ca="1" si="52"/>
        <v>#REF!</v>
      </c>
      <c r="AM494" s="33" t="str">
        <f t="shared" si="53"/>
        <v/>
      </c>
      <c r="AN494" s="33" t="e">
        <f t="shared" ca="1" si="54"/>
        <v>#REF!</v>
      </c>
      <c r="AO494" s="174" t="e">
        <f t="shared" ca="1" si="55"/>
        <v>#REF!</v>
      </c>
      <c r="AP494" s="174" t="e">
        <f t="shared" ca="1" si="56"/>
        <v>#REF!</v>
      </c>
    </row>
    <row r="495" spans="1:42">
      <c r="A495" s="33" t="str">
        <f t="shared" si="50"/>
        <v/>
      </c>
      <c r="I495" s="33"/>
      <c r="J495" s="173" t="str" cm="1">
        <f t="array" aca="1" ref="J495" ca="1">IFERROR(_xlfn.IFS(OR(AL495&lt;&gt;"",AP495&lt;&gt;""),"STCOアサイン済",OR(AN495&lt;&gt;"",AO495&lt;&gt;""),"CHAT中"),"")</f>
        <v/>
      </c>
      <c r="K495" s="33"/>
      <c r="L495" s="33"/>
      <c r="M495" s="33"/>
      <c r="N495" s="33"/>
      <c r="O495" s="33"/>
      <c r="AK495" s="33">
        <f t="shared" si="51"/>
        <v>0</v>
      </c>
      <c r="AL495" s="33" t="e">
        <f t="shared" ca="1" si="52"/>
        <v>#REF!</v>
      </c>
      <c r="AM495" s="33" t="str">
        <f t="shared" si="53"/>
        <v/>
      </c>
      <c r="AN495" s="33" t="e">
        <f t="shared" ca="1" si="54"/>
        <v>#REF!</v>
      </c>
      <c r="AO495" s="174" t="e">
        <f t="shared" ca="1" si="55"/>
        <v>#REF!</v>
      </c>
      <c r="AP495" s="174" t="e">
        <f t="shared" ca="1" si="56"/>
        <v>#REF!</v>
      </c>
    </row>
    <row r="496" spans="1:42">
      <c r="A496" s="33" t="str">
        <f t="shared" si="50"/>
        <v/>
      </c>
      <c r="I496" s="33"/>
      <c r="J496" s="173" t="str" cm="1">
        <f t="array" aca="1" ref="J496" ca="1">IFERROR(_xlfn.IFS(OR(AL496&lt;&gt;"",AP496&lt;&gt;""),"STCOアサイン済",OR(AN496&lt;&gt;"",AO496&lt;&gt;""),"CHAT中"),"")</f>
        <v/>
      </c>
      <c r="K496" s="33"/>
      <c r="L496" s="33"/>
      <c r="M496" s="33"/>
      <c r="N496" s="33"/>
      <c r="O496" s="33"/>
      <c r="AK496" s="33">
        <f t="shared" si="51"/>
        <v>0</v>
      </c>
      <c r="AL496" s="33" t="e">
        <f t="shared" ca="1" si="52"/>
        <v>#REF!</v>
      </c>
      <c r="AM496" s="33" t="str">
        <f t="shared" si="53"/>
        <v/>
      </c>
      <c r="AN496" s="33" t="e">
        <f t="shared" ca="1" si="54"/>
        <v>#REF!</v>
      </c>
      <c r="AO496" s="174" t="e">
        <f t="shared" ca="1" si="55"/>
        <v>#REF!</v>
      </c>
      <c r="AP496" s="174" t="e">
        <f t="shared" ca="1" si="56"/>
        <v>#REF!</v>
      </c>
    </row>
    <row r="497" spans="1:42">
      <c r="A497" s="33" t="str">
        <f t="shared" si="50"/>
        <v/>
      </c>
      <c r="I497" s="33"/>
      <c r="J497" s="173" t="str" cm="1">
        <f t="array" aca="1" ref="J497" ca="1">IFERROR(_xlfn.IFS(OR(AL497&lt;&gt;"",AP497&lt;&gt;""),"STCOアサイン済",OR(AN497&lt;&gt;"",AO497&lt;&gt;""),"CHAT中"),"")</f>
        <v/>
      </c>
      <c r="K497" s="33"/>
      <c r="L497" s="33"/>
      <c r="M497" s="33"/>
      <c r="N497" s="33"/>
      <c r="O497" s="33"/>
      <c r="AK497" s="33">
        <f t="shared" si="51"/>
        <v>0</v>
      </c>
      <c r="AL497" s="33" t="e">
        <f t="shared" ca="1" si="52"/>
        <v>#REF!</v>
      </c>
      <c r="AM497" s="33" t="str">
        <f t="shared" si="53"/>
        <v/>
      </c>
      <c r="AN497" s="33" t="e">
        <f t="shared" ca="1" si="54"/>
        <v>#REF!</v>
      </c>
      <c r="AO497" s="174" t="e">
        <f t="shared" ca="1" si="55"/>
        <v>#REF!</v>
      </c>
      <c r="AP497" s="174" t="e">
        <f t="shared" ca="1" si="56"/>
        <v>#REF!</v>
      </c>
    </row>
    <row r="498" spans="1:42">
      <c r="A498" s="33" t="str">
        <f t="shared" si="50"/>
        <v/>
      </c>
      <c r="I498" s="33"/>
      <c r="J498" s="173" t="str" cm="1">
        <f t="array" aca="1" ref="J498" ca="1">IFERROR(_xlfn.IFS(OR(AL498&lt;&gt;"",AP498&lt;&gt;""),"STCOアサイン済",OR(AN498&lt;&gt;"",AO498&lt;&gt;""),"CHAT中"),"")</f>
        <v/>
      </c>
      <c r="K498" s="33"/>
      <c r="L498" s="33"/>
      <c r="M498" s="33"/>
      <c r="N498" s="33"/>
      <c r="O498" s="33"/>
      <c r="AK498" s="33">
        <f t="shared" si="51"/>
        <v>0</v>
      </c>
      <c r="AL498" s="33" t="e">
        <f t="shared" ca="1" si="52"/>
        <v>#REF!</v>
      </c>
      <c r="AM498" s="33" t="str">
        <f t="shared" si="53"/>
        <v/>
      </c>
      <c r="AN498" s="33" t="e">
        <f t="shared" ca="1" si="54"/>
        <v>#REF!</v>
      </c>
      <c r="AO498" s="174" t="e">
        <f t="shared" ca="1" si="55"/>
        <v>#REF!</v>
      </c>
      <c r="AP498" s="174" t="e">
        <f t="shared" ca="1" si="56"/>
        <v>#REF!</v>
      </c>
    </row>
    <row r="499" spans="1:42">
      <c r="A499" s="33" t="str">
        <f t="shared" si="50"/>
        <v/>
      </c>
      <c r="I499" s="33"/>
      <c r="J499" s="173" t="str" cm="1">
        <f t="array" aca="1" ref="J499" ca="1">IFERROR(_xlfn.IFS(OR(AL499&lt;&gt;"",AP499&lt;&gt;""),"STCOアサイン済",OR(AN499&lt;&gt;"",AO499&lt;&gt;""),"CHAT中"),"")</f>
        <v/>
      </c>
      <c r="K499" s="33"/>
      <c r="L499" s="33"/>
      <c r="M499" s="33"/>
      <c r="N499" s="33"/>
      <c r="O499" s="33"/>
      <c r="AK499" s="33">
        <f t="shared" si="51"/>
        <v>0</v>
      </c>
      <c r="AL499" s="33" t="e">
        <f t="shared" ca="1" si="52"/>
        <v>#REF!</v>
      </c>
      <c r="AM499" s="33" t="str">
        <f t="shared" si="53"/>
        <v/>
      </c>
      <c r="AN499" s="33" t="e">
        <f t="shared" ca="1" si="54"/>
        <v>#REF!</v>
      </c>
      <c r="AO499" s="174" t="e">
        <f t="shared" ca="1" si="55"/>
        <v>#REF!</v>
      </c>
      <c r="AP499" s="174" t="e">
        <f t="shared" ca="1" si="56"/>
        <v>#REF!</v>
      </c>
    </row>
    <row r="500" spans="1:42">
      <c r="A500" s="33" t="str">
        <f t="shared" si="50"/>
        <v/>
      </c>
      <c r="I500" s="33"/>
      <c r="J500" s="173" t="str" cm="1">
        <f t="array" aca="1" ref="J500" ca="1">IFERROR(_xlfn.IFS(OR(AL500&lt;&gt;"",AP500&lt;&gt;""),"STCOアサイン済",OR(AN500&lt;&gt;"",AO500&lt;&gt;""),"CHAT中"),"")</f>
        <v/>
      </c>
      <c r="K500" s="33"/>
      <c r="L500" s="33"/>
      <c r="M500" s="33"/>
      <c r="N500" s="33"/>
      <c r="O500" s="33"/>
      <c r="AK500" s="33">
        <f t="shared" si="51"/>
        <v>0</v>
      </c>
      <c r="AL500" s="33" t="e">
        <f t="shared" ca="1" si="52"/>
        <v>#REF!</v>
      </c>
      <c r="AM500" s="33" t="str">
        <f t="shared" si="53"/>
        <v/>
      </c>
      <c r="AN500" s="33" t="e">
        <f t="shared" ca="1" si="54"/>
        <v>#REF!</v>
      </c>
      <c r="AO500" s="174" t="e">
        <f t="shared" ca="1" si="55"/>
        <v>#REF!</v>
      </c>
      <c r="AP500" s="174" t="e">
        <f t="shared" ca="1" si="56"/>
        <v>#REF!</v>
      </c>
    </row>
    <row r="501" spans="1:42">
      <c r="AK501" s="33">
        <f t="shared" si="51"/>
        <v>0</v>
      </c>
      <c r="AL501" s="33" t="e">
        <f t="shared" ca="1" si="52"/>
        <v>#REF!</v>
      </c>
      <c r="AM501" s="33" t="str">
        <f t="shared" si="53"/>
        <v/>
      </c>
      <c r="AN501" s="33" t="e">
        <f t="shared" ca="1" si="54"/>
        <v>#REF!</v>
      </c>
      <c r="AO501" s="174" t="e">
        <f t="shared" ca="1" si="55"/>
        <v>#REF!</v>
      </c>
      <c r="AP501" s="174" t="e">
        <f t="shared" ca="1" si="56"/>
        <v>#REF!</v>
      </c>
    </row>
  </sheetData>
  <sheetProtection sheet="1" selectLockedCells="1"/>
  <mergeCells count="20">
    <mergeCell ref="A3:A4"/>
    <mergeCell ref="B3:J4"/>
    <mergeCell ref="A1:A2"/>
    <mergeCell ref="B1:J2"/>
    <mergeCell ref="M1:M2"/>
    <mergeCell ref="Y1:AB1"/>
    <mergeCell ref="AD1:AI1"/>
    <mergeCell ref="Q42:AI43"/>
    <mergeCell ref="R44:AI44"/>
    <mergeCell ref="M47:M50"/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</mergeCells>
  <phoneticPr fontId="2"/>
  <conditionalFormatting sqref="A3:A4">
    <cfRule type="expression" dxfId="33" priority="31">
      <formula>$A3&lt;&gt;TODAY()*1</formula>
    </cfRule>
  </conditionalFormatting>
  <conditionalFormatting sqref="Q1">
    <cfRule type="expression" dxfId="32" priority="32">
      <formula>$Q1&lt;&gt;TODAY()*1</formula>
    </cfRule>
  </conditionalFormatting>
  <conditionalFormatting sqref="Y3:AA17">
    <cfRule type="expression" dxfId="31" priority="30">
      <formula>$AA3="リスト更新済み"</formula>
    </cfRule>
  </conditionalFormatting>
  <conditionalFormatting sqref="Z3:Z17">
    <cfRule type="expression" dxfId="30" priority="29">
      <formula>AND($X3&lt;&gt;"",TEXT(NOW(),"h:mm")*1 &gt;= $X3+TIME(0,0,0) )</formula>
    </cfRule>
  </conditionalFormatting>
  <conditionalFormatting sqref="P3">
    <cfRule type="cellIs" dxfId="29" priority="28" operator="equal">
      <formula>"入力有"</formula>
    </cfRule>
  </conditionalFormatting>
  <conditionalFormatting sqref="L3 O3">
    <cfRule type="cellIs" dxfId="28" priority="27" operator="greaterThan">
      <formula>0</formula>
    </cfRule>
  </conditionalFormatting>
  <conditionalFormatting sqref="M3">
    <cfRule type="cellIs" dxfId="27" priority="26" operator="equal">
      <formula>"入力有"</formula>
    </cfRule>
  </conditionalFormatting>
  <conditionalFormatting sqref="B8:I500">
    <cfRule type="expression" dxfId="26" priority="7">
      <formula>$J8="CHAT中"</formula>
    </cfRule>
    <cfRule type="expression" dxfId="25" priority="9">
      <formula>COUNTIFS($C$8:$C$503,$C8,$D$8:$D$503,$D8)&gt;1</formula>
    </cfRule>
    <cfRule type="expression" dxfId="24" priority="22">
      <formula>OR($A8="使用可",$A8="UXへのみ可")</formula>
    </cfRule>
  </conditionalFormatting>
  <conditionalFormatting sqref="H8:H500">
    <cfRule type="cellIs" dxfId="23" priority="15" operator="equal">
      <formula>"RTS_1"</formula>
    </cfRule>
    <cfRule type="cellIs" dxfId="22" priority="16" operator="equal">
      <formula>"RECOVERY_1"</formula>
    </cfRule>
    <cfRule type="cellIs" dxfId="21" priority="17" operator="equal">
      <formula>"Cycle_4"</formula>
    </cfRule>
    <cfRule type="cellIs" dxfId="20" priority="18" operator="equal">
      <formula>"CYCLE_3"</formula>
    </cfRule>
    <cfRule type="cellIs" dxfId="19" priority="19" operator="equal">
      <formula>"CYCLE_2"</formula>
    </cfRule>
    <cfRule type="cellIs" dxfId="18" priority="20" operator="equal">
      <formula>"CYCLE_1"</formula>
    </cfRule>
  </conditionalFormatting>
  <conditionalFormatting sqref="B8:C500">
    <cfRule type="expression" dxfId="17" priority="33">
      <formula>$A8&lt;&gt;""</formula>
    </cfRule>
  </conditionalFormatting>
  <conditionalFormatting sqref="B8:C500">
    <cfRule type="expression" dxfId="16" priority="24">
      <formula>$A8="DS"</formula>
    </cfRule>
    <cfRule type="expression" dxfId="15" priority="25">
      <formula>$A8="ORM"</formula>
    </cfRule>
  </conditionalFormatting>
  <conditionalFormatting sqref="B8:I500">
    <cfRule type="expression" dxfId="14" priority="23">
      <formula>ABS($I8)&gt;10</formula>
    </cfRule>
  </conditionalFormatting>
  <conditionalFormatting sqref="A8:A500">
    <cfRule type="expression" dxfId="13" priority="11">
      <formula>IF($A8="使用可",$H8="Cycle_4")</formula>
    </cfRule>
    <cfRule type="expression" dxfId="12" priority="12">
      <formula>OR($A8="使用可",$A8="UXへのみ可")</formula>
    </cfRule>
  </conditionalFormatting>
  <conditionalFormatting sqref="A8:A500">
    <cfRule type="expression" dxfId="11" priority="14">
      <formula>$A8="DS"</formula>
    </cfRule>
    <cfRule type="expression" dxfId="10" priority="21">
      <formula>$A8="ORM"</formula>
    </cfRule>
  </conditionalFormatting>
  <conditionalFormatting sqref="A8:A500">
    <cfRule type="expression" dxfId="9" priority="13">
      <formula>ABS($I8)&gt;10</formula>
    </cfRule>
  </conditionalFormatting>
  <conditionalFormatting sqref="A8:I500">
    <cfRule type="expression" dxfId="8" priority="10">
      <formula>$J8="STCOアサイン済"</formula>
    </cfRule>
  </conditionalFormatting>
  <conditionalFormatting sqref="C8:C500">
    <cfRule type="expression" dxfId="7" priority="34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500">
    <cfRule type="expression" dxfId="6" priority="8">
      <formula>$A8="DSレスキュー済"</formula>
    </cfRule>
  </conditionalFormatting>
  <conditionalFormatting sqref="J8:J500">
    <cfRule type="expression" dxfId="5" priority="3">
      <formula>$J8="CHAT中"</formula>
    </cfRule>
    <cfRule type="expression" dxfId="4" priority="5">
      <formula>COUNTIFS($C$8:$C$503,$C8,$D$8:$D$503,$D8)&gt;1</formula>
    </cfRule>
    <cfRule type="expression" dxfId="3" priority="6">
      <formula>OR($A8="使用可",$A8="UXへのみ可")</formula>
    </cfRule>
  </conditionalFormatting>
  <conditionalFormatting sqref="J8:J500">
    <cfRule type="containsText" dxfId="2" priority="4" operator="containsText" text="STCOアサイン済">
      <formula>NOT(ISERROR(SEARCH("STCOアサイン済",J8)))</formula>
    </cfRule>
  </conditionalFormatting>
  <conditionalFormatting sqref="Q3">
    <cfRule type="expression" dxfId="1" priority="2">
      <formula>$AA3="リスト更新済み"</formula>
    </cfRule>
  </conditionalFormatting>
  <conditionalFormatting sqref="Q3">
    <cfRule type="expression" dxfId="0" priority="1">
      <formula>AND($X3&lt;&gt;"",TEXT(NOW(),"h:mm")*1 &gt;= $X3+TIME(0,0,0) )</formula>
    </cfRule>
  </conditionalFormatting>
  <dataValidations count="2">
    <dataValidation type="list" allowBlank="1" showInputMessage="1" sqref="A8:A500" xr:uid="{876CFE13-6C39-4618-A701-634E3D2A733C}">
      <formula1>"DS,使用可,UXへのみ可,DSレスキュー済"</formula1>
    </dataValidation>
    <dataValidation type="list" allowBlank="1" showInputMessage="1" showErrorMessage="1" sqref="AA3:AA17" xr:uid="{4B1F8B58-75E8-468F-96A4-AEB4167E1FB8}">
      <formula1>"リスト更新済み"</formula1>
    </dataValidation>
  </dataValidations>
  <hyperlinks>
    <hyperlink ref="M16:M28" r:id="rId1" display="当日Data" xr:uid="{32362EFC-0710-4EE8-BBC0-BFC72A645D83}"/>
    <hyperlink ref="M32:M46" r:id="rId2" location="/folder/08406eb8aa6e265c75e1ca46e2804498b2e99c3ffc18a6b737dea4aeddb9544b" display="過去Data" xr:uid="{A1CC9434-1573-4EAE-9B76-89FB0437373C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Sugai, Nami</DisplayName>
        <AccountId>1155</AccountId>
        <AccountType/>
      </UserInfo>
      <UserInfo>
        <DisplayName>Sato, Kota</DisplayName>
        <AccountId>1181</AccountId>
        <AccountType/>
      </UserInfo>
      <UserInfo>
        <DisplayName>Noda, Norihiko</DisplayName>
        <AccountId>1182</AccountId>
        <AccountType/>
      </UserInfo>
      <UserInfo>
        <DisplayName>Okamura, Daisuke</DisplayName>
        <AccountId>1183</AccountId>
        <AccountType/>
      </UserInfo>
      <UserInfo>
        <DisplayName>Yokoyama, Atsushi</DisplayName>
        <AccountId>1180</AccountId>
        <AccountType/>
      </UserInfo>
      <UserInfo>
        <DisplayName>Moriwaki, Hikaru</DisplayName>
        <AccountId>1184</AccountId>
        <AccountType/>
      </UserInfo>
      <UserInfo>
        <DisplayName>Shirosaka, Keita</DisplayName>
        <AccountId>1185</AccountId>
        <AccountType/>
      </UserInfo>
      <UserInfo>
        <DisplayName>Imai, Satoshi</DisplayName>
        <AccountId>1186</AccountId>
        <AccountType/>
      </UserInfo>
      <UserInfo>
        <DisplayName>Harada, Yuki</DisplayName>
        <AccountId>1187</AccountId>
        <AccountType/>
      </UserInfo>
      <UserInfo>
        <DisplayName>Watanabe, Atsushi</DisplayName>
        <AccountId>1188</AccountId>
        <AccountType/>
      </UserInfo>
      <UserInfo>
        <DisplayName>ZHAO, LIANG</DisplayName>
        <AccountId>1189</AccountId>
        <AccountType/>
      </UserInfo>
      <UserInfo>
        <DisplayName>Jo, Yue</DisplayName>
        <AccountId>685</AccountId>
        <AccountType/>
      </UserInfo>
      <UserInfo>
        <DisplayName>NINOMIYA, YUSUKE</DisplayName>
        <AccountId>873</AccountId>
        <AccountType/>
      </UserInfo>
      <UserInfo>
        <DisplayName>Usami, Tsubasa</DisplayName>
        <AccountId>296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CF6756-4340-4A8C-8FFB-3E843DA26B38}"/>
</file>

<file path=customXml/itemProps2.xml><?xml version="1.0" encoding="utf-8"?>
<ds:datastoreItem xmlns:ds="http://schemas.openxmlformats.org/officeDocument/2006/customXml" ds:itemID="{F75BA72F-C33A-4BD4-9785-ADD0FEB18773}"/>
</file>

<file path=customXml/itemProps3.xml><?xml version="1.0" encoding="utf-8"?>
<ds:datastoreItem xmlns:ds="http://schemas.openxmlformats.org/officeDocument/2006/customXml" ds:itemID="{7BD29E3E-3708-4777-A11A-8272EC30560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Okano, Yurika [C]</cp:lastModifiedBy>
  <cp:revision/>
  <dcterms:created xsi:type="dcterms:W3CDTF">2023-07-23T11:41:36Z</dcterms:created>
  <dcterms:modified xsi:type="dcterms:W3CDTF">2025-05-24T04:10:24Z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